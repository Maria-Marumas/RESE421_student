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style1.xml" ContentType="application/vnd.ms-office.chartstyle+xml"/>
  <Override PartName="/xl/charts/colors1.xml" ContentType="application/vnd.ms-office.chartcolorstyle+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H:\"/>
    </mc:Choice>
  </mc:AlternateContent>
  <xr:revisionPtr revIDLastSave="0" documentId="14_{AAB54AC2-C923-4AE9-A41E-E4DA557442A6}" xr6:coauthVersionLast="47" xr6:coauthVersionMax="47" xr10:uidLastSave="{00000000-0000-0000-0000-000000000000}"/>
  <bookViews>
    <workbookView xWindow="-120" yWindow="-120" windowWidth="29040" windowHeight="15840" tabRatio="690" activeTab="1" xr2:uid="{00000000-000D-0000-FFFF-FFFF00000000}"/>
  </bookViews>
  <sheets>
    <sheet name="Data" sheetId="1" r:id="rId1"/>
    <sheet name="Charts" sheetId="2" r:id="rId2"/>
    <sheet name="Pearson Correlation" sheetId="5" r:id="rId3"/>
    <sheet name="Summary" sheetId="6" r:id="rId4"/>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calcChain.xml><?xml version="1.0" encoding="utf-8"?>
<calcChain xmlns="http://schemas.openxmlformats.org/spreadsheetml/2006/main">
  <c r="G27" i="1" l="1"/>
  <c r="E27" i="1" s="1"/>
  <c r="G29" i="1"/>
  <c r="E29" i="1" s="1"/>
  <c r="G5" i="1"/>
  <c r="G6" i="1"/>
  <c r="G7" i="1"/>
  <c r="G8" i="1"/>
  <c r="E8" i="1" s="1"/>
  <c r="G9" i="1"/>
  <c r="G10" i="1"/>
  <c r="G11" i="1"/>
  <c r="G12" i="1"/>
  <c r="E12" i="1" s="1"/>
  <c r="G13" i="1"/>
  <c r="G14" i="1"/>
  <c r="G15" i="1"/>
  <c r="G16" i="1"/>
  <c r="G17" i="1"/>
  <c r="G18" i="1"/>
  <c r="E18" i="1" s="1"/>
  <c r="G19" i="1"/>
  <c r="G20" i="1"/>
  <c r="E20" i="1" s="1"/>
  <c r="G21" i="1"/>
  <c r="G22" i="1"/>
  <c r="E22" i="1" s="1"/>
  <c r="G23" i="1"/>
  <c r="G24" i="1"/>
  <c r="E24" i="1" s="1"/>
  <c r="G25" i="1"/>
  <c r="G26" i="1"/>
  <c r="E26" i="1" s="1"/>
  <c r="G28" i="1"/>
  <c r="G30" i="1"/>
  <c r="G31" i="1"/>
  <c r="G32" i="1"/>
  <c r="E32" i="1" s="1"/>
  <c r="G33" i="1"/>
  <c r="G34" i="1"/>
  <c r="E5" i="1"/>
  <c r="E6" i="1"/>
  <c r="E13" i="1"/>
  <c r="E23" i="1"/>
  <c r="E28" i="1"/>
  <c r="E34" i="1"/>
  <c r="G4" i="1"/>
  <c r="E31" i="1"/>
  <c r="E10" i="1"/>
  <c r="E16" i="1"/>
  <c r="E30" i="1"/>
  <c r="E7" i="1"/>
  <c r="E33" i="1"/>
  <c r="E4" i="1"/>
  <c r="F92" i="5"/>
  <c r="E92" i="5"/>
  <c r="D92" i="5"/>
  <c r="F62" i="5"/>
  <c r="E62" i="5"/>
  <c r="D62" i="5"/>
  <c r="F32" i="5"/>
  <c r="E32" i="5"/>
  <c r="D32" i="5"/>
  <c r="U34" i="1"/>
  <c r="N34" i="1"/>
  <c r="U33" i="1"/>
  <c r="S33" i="1" s="1"/>
  <c r="N33" i="1"/>
  <c r="L33" i="1" s="1"/>
  <c r="U32" i="1"/>
  <c r="S32" i="1" s="1"/>
  <c r="N32" i="1"/>
  <c r="L32" i="1" s="1"/>
  <c r="U31" i="1"/>
  <c r="S31" i="1" s="1"/>
  <c r="N31" i="1"/>
  <c r="L31" i="1" s="1"/>
  <c r="U30" i="1"/>
  <c r="S30" i="1" s="1"/>
  <c r="N30" i="1"/>
  <c r="L30" i="1" s="1"/>
  <c r="U29" i="1"/>
  <c r="S29" i="1" s="1"/>
  <c r="N29" i="1"/>
  <c r="L29" i="1"/>
  <c r="U28" i="1"/>
  <c r="S28" i="1" s="1"/>
  <c r="N28" i="1"/>
  <c r="L28" i="1" s="1"/>
  <c r="U27" i="1"/>
  <c r="S27" i="1" s="1"/>
  <c r="N27" i="1"/>
  <c r="L27" i="1" s="1"/>
  <c r="U26" i="1"/>
  <c r="S26" i="1" s="1"/>
  <c r="N26" i="1"/>
  <c r="L26" i="1" s="1"/>
  <c r="U25" i="1"/>
  <c r="S25" i="1" s="1"/>
  <c r="N25" i="1"/>
  <c r="L25" i="1" s="1"/>
  <c r="E25" i="1"/>
  <c r="U24" i="1"/>
  <c r="S24" i="1" s="1"/>
  <c r="N24" i="1"/>
  <c r="L24" i="1" s="1"/>
  <c r="U23" i="1"/>
  <c r="S23" i="1" s="1"/>
  <c r="N23" i="1"/>
  <c r="L23" i="1" s="1"/>
  <c r="U22" i="1"/>
  <c r="S22" i="1" s="1"/>
  <c r="N22" i="1"/>
  <c r="L22" i="1" s="1"/>
  <c r="U21" i="1"/>
  <c r="S21" i="1" s="1"/>
  <c r="N21" i="1"/>
  <c r="L21" i="1" s="1"/>
  <c r="E21" i="1"/>
  <c r="U20" i="1"/>
  <c r="S20" i="1" s="1"/>
  <c r="N20" i="1"/>
  <c r="L20" i="1"/>
  <c r="U19" i="1"/>
  <c r="S19" i="1" s="1"/>
  <c r="N19" i="1"/>
  <c r="L19" i="1" s="1"/>
  <c r="E19" i="1"/>
  <c r="U18" i="1"/>
  <c r="S18" i="1" s="1"/>
  <c r="N18" i="1"/>
  <c r="L18" i="1" s="1"/>
  <c r="U17" i="1"/>
  <c r="S17" i="1" s="1"/>
  <c r="N17" i="1"/>
  <c r="L17" i="1" s="1"/>
  <c r="E17" i="1"/>
  <c r="U16" i="1"/>
  <c r="S16" i="1" s="1"/>
  <c r="N16" i="1"/>
  <c r="L16" i="1" s="1"/>
  <c r="U15" i="1"/>
  <c r="S15" i="1" s="1"/>
  <c r="N15" i="1"/>
  <c r="L15" i="1" s="1"/>
  <c r="E15" i="1"/>
  <c r="U14" i="1"/>
  <c r="S14" i="1" s="1"/>
  <c r="N14" i="1"/>
  <c r="L14" i="1" s="1"/>
  <c r="E14" i="1"/>
  <c r="U13" i="1"/>
  <c r="S13" i="1" s="1"/>
  <c r="N13" i="1"/>
  <c r="L13" i="1" s="1"/>
  <c r="U12" i="1"/>
  <c r="S12" i="1" s="1"/>
  <c r="N12" i="1"/>
  <c r="L12" i="1"/>
  <c r="U11" i="1"/>
  <c r="S11" i="1" s="1"/>
  <c r="N11" i="1"/>
  <c r="L11" i="1"/>
  <c r="E11" i="1"/>
  <c r="U10" i="1"/>
  <c r="S10" i="1" s="1"/>
  <c r="N10" i="1"/>
  <c r="L10" i="1" s="1"/>
  <c r="U9" i="1"/>
  <c r="S9" i="1" s="1"/>
  <c r="N9" i="1"/>
  <c r="L9" i="1" s="1"/>
  <c r="E9" i="1"/>
  <c r="U8" i="1"/>
  <c r="S8" i="1" s="1"/>
  <c r="N8" i="1"/>
  <c r="L8" i="1" s="1"/>
  <c r="U7" i="1"/>
  <c r="S7" i="1" s="1"/>
  <c r="N7" i="1"/>
  <c r="L7" i="1" s="1"/>
  <c r="U6" i="1"/>
  <c r="S6" i="1" s="1"/>
  <c r="N6" i="1"/>
  <c r="L6" i="1" s="1"/>
  <c r="U5" i="1"/>
  <c r="S5" i="1" s="1"/>
  <c r="N5" i="1"/>
  <c r="L5" i="1"/>
  <c r="U4" i="1"/>
  <c r="S4" i="1" s="1"/>
  <c r="N4" i="1"/>
  <c r="L4" i="1" s="1"/>
</calcChain>
</file>

<file path=xl/sharedStrings.xml><?xml version="1.0" encoding="utf-8"?>
<sst xmlns="http://schemas.openxmlformats.org/spreadsheetml/2006/main" count="88" uniqueCount="68">
  <si>
    <t>ECS, GDP, GNI per Capita, Health Index &amp; Education Index — NZ, AU, UK (1985–2015)</t>
  </si>
  <si>
    <t>Year</t>
  </si>
  <si>
    <t>New Zealand</t>
  </si>
  <si>
    <t>Australia</t>
  </si>
  <si>
    <t>United Kingdom</t>
  </si>
  <si>
    <t>ECS</t>
  </si>
  <si>
    <t>GDP % Chg</t>
  </si>
  <si>
    <t>Chart 1: ECS vs GDP &amp; GNI per Capita Growth — Individual Countries</t>
  </si>
  <si>
    <t>Chart 2: ECS vs Health &amp; Education Indexes — Individual Countries</t>
  </si>
  <si>
    <t>Chart 3: Combined Comparison — NZ, AU, UK</t>
  </si>
  <si>
    <t>Pearson r measures linear correlation (−1 to +1). Lag-1: ECS(t) vs GDP(t+1). Lag-2: ECS(t) vs GDP(t+2). Yellow cells = computed r values.</t>
  </si>
  <si>
    <t>Pearson r (Lag 0)
ECS(t) vs GDP(t)</t>
  </si>
  <si>
    <t>Pearson r (Lag 1)
ECS(t) vs GDP(t+1)</t>
  </si>
  <si>
    <t>Pearson r (Lag 2)
ECS(t) vs GDP(t+2)</t>
  </si>
  <si>
    <t>Cross-Country Summary: Average ECS, GDP, GNI, Health &amp; Education Index</t>
  </si>
  <si>
    <t>Country</t>
  </si>
  <si>
    <t>Avg ECS (1985–2010)</t>
  </si>
  <si>
    <t>Avg GDP % Chg</t>
  </si>
  <si>
    <t>Avg GNI p.c. % Chg</t>
  </si>
  <si>
    <t>Avg Health Index</t>
  </si>
  <si>
    <t>Avg Edu Index</t>
  </si>
  <si>
    <t>QUESTION</t>
  </si>
  <si>
    <t>What patterns do you observe in ECS over time?</t>
  </si>
  <si>
    <t>Is there a threshold where GDP/GNI becomes dependent on ECS?</t>
  </si>
  <si>
    <t>What does Pearson r (Lag 0) tell you?</t>
  </si>
  <si>
    <t>What do lag-1 and lag-2 results suggest?</t>
  </si>
  <si>
    <t>What other factors influence the correlation?</t>
  </si>
  <si>
    <t>Do Health &amp; Education Indexes track ECS?</t>
  </si>
  <si>
    <t>How does Kümmel (2013) relate to your findings?</t>
  </si>
  <si>
    <t>Any other reflections?</t>
  </si>
  <si>
    <t>When energy gets expensive, the economy slowdown.</t>
  </si>
  <si>
    <t>Tutorial W5 - Discussion</t>
  </si>
  <si>
    <t>ANSWER</t>
  </si>
  <si>
    <t>All 3 countries show an ECS spike around 2007-2008 (Global oil price peak + GFC). UK has the highest (6.4%) and declines as it transitions to fossil fuels. NZ and AU are lower (3-4%) but rise through 2000s. Post 2010 ECS data is missing but GDP growth continued at moderate rates.</t>
  </si>
  <si>
    <t>ECS (4-5%) appears to be a soft threshold: above it, GDP growth slows or turns negative (NZ 2008: ECS=7.1%, GDP=−1.3%; UK 2008: ECS=6.5%, GDP=−0.6%). Below 3%, growth is generally positive. The relationship is not linear. ECS may correlate with economic activity, but very high ECS signals an energy cost burden.</t>
  </si>
  <si>
    <t>A negative r means higher ECS correlates with lower GDP growth in the same year. Consistent with Kummel (2013), where in energy contributes more to GDP that its cost share implies, so the cost spikes have outsized the GDP impacts.</t>
  </si>
  <si>
    <t xml:space="preserve">If r weakens at higher lags, the impact is mainly occurring in the same period of time (contemporaneous). A sign reversal where in positive r at lag-1/2) could mean that energy cost pressure stimulates efficiency investment and stronger growth later. </t>
  </si>
  <si>
    <t>Global oil prices, energy intensity of GDP, carbon/energy taxes, trade structure AU exports coal/LNG), monetary policy, and the 2008-2009 GFC. NZ is a net energy importer which vulnerable, AU as a net exporter has a different ECS dynamics.</t>
  </si>
  <si>
    <t>Both indexes rise steadily regardless of ECS fluctuations, driven by long-run investment in health and education. No clear ECS threshold is visible for Health Index and Education Index which suggest that human development is decoupled from short-run energy cost shocks in these developed economies.</t>
  </si>
  <si>
    <t>Kummel argues that energy's output elasticity far exceeds its cost share. The negative ECS-GDP r supports this: even the ECS rises have disproportionate GDP effects. His recommendation is to shift taxes from labour to energy to reduce labour costs while reflecting energy's true economic weight.</t>
  </si>
  <si>
    <t>The cross-countr y comparison needs more attention and caution because it has very different energy mixes. NZ's high renewable share (hydro) means ECS may reflect electricity pricing volatility rather than fossil fuel dependency. The human development index (HDI) rising independently of ECS suggesting social resilience that is built through consistent long-term investment, not some contingent on energy price stability.</t>
  </si>
  <si>
    <t>&gt; Pearson r values computed via CORREL() formulas in the "Pearson Correlation" sheet.</t>
  </si>
  <si>
    <t>AU - Australia</t>
  </si>
  <si>
    <t>NZ - New Zealand</t>
  </si>
  <si>
    <t>Pearson Correlation: ECS vs GDP Growth  (Lag 0, 1, 2 years)</t>
  </si>
  <si>
    <t>Pearson r &gt;</t>
  </si>
  <si>
    <t>ECS (NZ)</t>
  </si>
  <si>
    <t>GDP % Chg (NZ)</t>
  </si>
  <si>
    <t>GNI p.c. % Chg (NZ)</t>
  </si>
  <si>
    <t>Health Index (NZ)</t>
  </si>
  <si>
    <t>Edu Index (NZ)</t>
  </si>
  <si>
    <t>Avg ECS (NZ)</t>
  </si>
  <si>
    <t>Life Exp. (NZ)</t>
  </si>
  <si>
    <t>ECS(AU)</t>
  </si>
  <si>
    <t>GDP % Chg (AU)</t>
  </si>
  <si>
    <t>GNI p.c. % Chg (AU)</t>
  </si>
  <si>
    <t>Health Index (AU)</t>
  </si>
  <si>
    <t>Edu Index (AU)</t>
  </si>
  <si>
    <t>Avg ECS (AU)</t>
  </si>
  <si>
    <t>Life Exp. (AU)</t>
  </si>
  <si>
    <t>ECS (UK)</t>
  </si>
  <si>
    <t>GDP % Chg (UK)</t>
  </si>
  <si>
    <t>GNI p.c. % Chg (UK)</t>
  </si>
  <si>
    <t>Health Index (UK)</t>
  </si>
  <si>
    <t>Edu Index (UK)</t>
  </si>
  <si>
    <t>Avg ECS (UK)</t>
  </si>
  <si>
    <t>Life Exp. (UK)</t>
  </si>
  <si>
    <t>UK - United Kingdom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</si>
</sst>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9" x14ac:knownFonts="1">
    <font>
      <sz val="11"/>
      <color theme="1"/>
      <name val="Calibri"/>
      <family val="2"/>
      <charset val="1"/>
    </font>
    <font>
      <b/>
      <sz val="12"/>
      <color rgb="FFFFFFFF"/>
      <name val="Arial"/>
      <charset val="1"/>
    </font>
    <font>
      <sz val="11"/>
      <color theme="1"/>
      <name val="Aptos Display"/>
      <family val="2"/>
    </font>
    <font>
      <b/>
      <sz val="10"/>
      <color rgb="FFFFFFFF"/>
      <name val="Aptos Display"/>
      <family val="2"/>
    </font>
    <font>
      <b/>
      <sz val="10"/>
      <name val="Aptos Display"/>
      <family val="2"/>
    </font>
    <font>
      <b/>
      <sz val="10"/>
      <color rgb="FFC00000"/>
      <name val="Aptos Display"/>
      <family val="2"/>
    </font>
    <font>
      <sz val="10"/>
      <color rgb="FF000000"/>
      <name val="Aptos Display"/>
      <family val="2"/>
    </font>
    <font>
      <i/>
      <sz val="10"/>
      <color rgb="FF404040"/>
      <name val="Aptos Display"/>
      <family val="2"/>
    </font>
    <font>
      <b/>
      <sz val="14"/>
      <color rgb="FFFFFFFF"/>
      <name val="Aptos Display"/>
      <family val="2"/>
    </font>
    <font>
      <b/>
      <sz val="11"/>
      <color rgb="FFFFFFFF"/>
      <name val="Aptos Display"/>
      <family val="2"/>
    </font>
    <font>
      <b/>
      <sz val="10"/>
      <color rgb="FF1F4E79"/>
      <name val="Aptos Display"/>
      <family val="2"/>
    </font>
    <font>
      <b/>
      <sz val="10"/>
      <color rgb="FF000000"/>
      <name val="Aptos Display"/>
      <family val="2"/>
    </font>
    <font>
      <sz val="9"/>
      <color theme="1"/>
      <name val="Aptos Display"/>
      <family val="2"/>
    </font>
    <font>
      <b/>
      <sz val="11"/>
      <color rgb="FFC00000"/>
      <name val="Aptos Display"/>
      <family val="2"/>
    </font>
    <font>
      <sz val="10"/>
      <color rgb="FF00008B"/>
      <name val="Aptos Display"/>
      <family val="2"/>
    </font>
    <font>
      <sz val="10"/>
      <color theme="1"/>
      <name val="Aptos Display"/>
      <family val="2"/>
    </font>
    <font>
      <b/>
      <sz val="14"/>
      <color theme="0"/>
      <name val="Aptos Display"/>
      <family val="2"/>
    </font>
    <font>
      <b/>
      <sz val="10"/>
      <color theme="0"/>
      <name val="Aptos Display"/>
      <family val="2"/>
    </font>
    <font>
      <b/>
      <sz val="12"/>
      <color theme="0"/>
      <name val="Aptos Display"/>
      <family val="2"/>
    </font>
  </fonts>
  <fills count="12">
    <fill>
      <patternFill patternType="none"/>
    </fill>
    <fill>
      <patternFill patternType="gray125"/>
    </fill>
    <fill>
      <patternFill patternType="solid">
        <fgColor rgb="FF1F4E79"/>
        <bgColor rgb="FF264478"/>
      </patternFill>
    </fill>
    <fill>
      <patternFill patternType="solid">
        <fgColor rgb="FF2E75B6"/>
        <bgColor rgb="FF4472C4"/>
      </patternFill>
    </fill>
    <fill>
      <patternFill patternType="solid">
        <fgColor rgb="FFBDD7EE"/>
        <bgColor rgb="FFD9D9D9"/>
      </patternFill>
    </fill>
    <fill>
      <patternFill patternType="solid">
        <fgColor rgb="FFDEEAF1"/>
        <bgColor rgb="FFD9D9D9"/>
      </patternFill>
    </fill>
    <fill>
      <patternFill patternType="solid">
        <fgColor rgb="FFFFFFFF"/>
        <bgColor rgb="FFFFF2CC"/>
      </patternFill>
    </fill>
    <fill>
      <patternFill patternType="solid">
        <fgColor rgb="FFFFF2CC"/>
        <bgColor rgb="FFFFFFFF"/>
      </patternFill>
    </fill>
    <fill>
      <patternFill patternType="solid">
        <fgColor theme="4" tint="-0.499984740745262"/>
        <bgColor indexed="64"/>
      </patternFill>
    </fill>
    <fill>
      <patternFill patternType="solid">
        <fgColor theme="4" tint="-0.249977111117893"/>
        <bgColor indexed="64"/>
      </patternFill>
    </fill>
    <fill>
      <patternFill patternType="solid">
        <fgColor theme="3" tint="-0.499984740745262"/>
        <bgColor rgb="FF264478"/>
      </patternFill>
    </fill>
    <fill>
      <patternFill patternType="solid">
        <fgColor theme="3" tint="-0.499984740745262"/>
        <bgColor rgb="FF4472C4"/>
      </patternFill>
    </fill>
  </fills>
  <borders count="15">
    <border>
      <left/>
      <right/>
      <top/>
      <bottom/>
      <diagonal/>
    </border>
    <border>
      <left style="thin">
        <color auto="1"/>
      </left>
      <right style="thin">
        <color auto="1"/>
      </right>
      <top style="thin">
        <color auto="1"/>
      </top>
      <bottom style="thin">
        <color auto="1"/>
      </bottom>
      <diagonal/>
    </border>
    <border>
      <left style="thin">
        <color auto="1"/>
      </left>
      <right/>
      <top style="thin">
        <color auto="1"/>
      </top>
      <bottom style="thin">
        <color auto="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auto="1"/>
      </right>
      <top style="thin">
        <color auto="1"/>
      </top>
      <bottom style="thin">
        <color auto="1"/>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thin">
        <color auto="1"/>
      </left>
      <right/>
      <top/>
      <bottom/>
      <diagonal/>
    </border>
    <border>
      <left style="medium">
        <color indexed="64"/>
      </left>
      <right style="thin">
        <color auto="1"/>
      </right>
      <top style="medium">
        <color indexed="64"/>
      </top>
      <bottom style="thin">
        <color auto="1"/>
      </bottom>
      <diagonal/>
    </border>
    <border>
      <left style="thin">
        <color auto="1"/>
      </left>
      <right style="thin">
        <color auto="1"/>
      </right>
      <top style="medium">
        <color indexed="64"/>
      </top>
      <bottom style="thin">
        <color auto="1"/>
      </bottom>
      <diagonal/>
    </border>
    <border>
      <left style="thin">
        <color auto="1"/>
      </left>
      <right style="medium">
        <color indexed="64"/>
      </right>
      <top style="medium">
        <color indexed="64"/>
      </top>
      <bottom style="thin">
        <color auto="1"/>
      </bottom>
      <diagonal/>
    </border>
  </borders>
  <cellStyleXfs count="1">
    <xf numFmtId="0" fontId="0" fillId="0" borderId="0"/>
  </cellStyleXfs>
  <cellXfs count="63">
    <xf numFmtId="0" fontId="0" fillId="0" borderId="0" xfId="0"/>
    <xf numFmtId="0" fontId="2" fillId="0" borderId="0" xfId="0" applyFont="1"/>
    <xf numFmtId="0" fontId="3" fillId="3" borderId="1" xfId="0" applyFont="1" applyFill="1" applyBorder="1" applyAlignment="1">
      <alignment horizontal="center" vertical="center" wrapText="1"/>
    </xf>
    <xf numFmtId="0" fontId="4" fillId="5" borderId="1" xfId="0" applyFont="1" applyFill="1" applyBorder="1" applyAlignment="1">
      <alignment horizontal="left"/>
    </xf>
    <xf numFmtId="10" fontId="5" fillId="5" borderId="1" xfId="0" applyNumberFormat="1" applyFont="1" applyFill="1" applyBorder="1" applyAlignment="1">
      <alignment horizontal="center" vertical="center"/>
    </xf>
    <xf numFmtId="10" fontId="6" fillId="5" borderId="1" xfId="0" applyNumberFormat="1" applyFont="1" applyFill="1" applyBorder="1" applyAlignment="1">
      <alignment horizontal="center" vertical="center"/>
    </xf>
    <xf numFmtId="164" fontId="6" fillId="5" borderId="1" xfId="0" applyNumberFormat="1" applyFont="1" applyFill="1" applyBorder="1" applyAlignment="1">
      <alignment horizontal="center" vertical="center"/>
    </xf>
    <xf numFmtId="0" fontId="4" fillId="6" borderId="1" xfId="0" applyFont="1" applyFill="1" applyBorder="1" applyAlignment="1">
      <alignment horizontal="left"/>
    </xf>
    <xf numFmtId="10" fontId="5" fillId="6" borderId="1" xfId="0" applyNumberFormat="1" applyFont="1" applyFill="1" applyBorder="1" applyAlignment="1">
      <alignment horizontal="center" vertical="center"/>
    </xf>
    <xf numFmtId="10" fontId="6" fillId="6" borderId="1" xfId="0" applyNumberFormat="1" applyFont="1" applyFill="1" applyBorder="1" applyAlignment="1">
      <alignment horizontal="center" vertical="center"/>
    </xf>
    <xf numFmtId="164" fontId="6" fillId="6" borderId="1" xfId="0" applyNumberFormat="1" applyFont="1" applyFill="1" applyBorder="1" applyAlignment="1">
      <alignment horizontal="center" vertical="center"/>
    </xf>
    <xf numFmtId="0" fontId="7" fillId="0" borderId="0" xfId="0" applyFont="1" applyBorder="1" applyAlignment="1">
      <alignment horizontal="left"/>
    </xf>
    <xf numFmtId="0" fontId="7" fillId="0" borderId="0" xfId="0" applyFont="1" applyBorder="1" applyAlignment="1">
      <alignment horizontal="left" vertical="center" wrapText="1"/>
    </xf>
    <xf numFmtId="0" fontId="10" fillId="4" borderId="1" xfId="0" applyFont="1" applyFill="1" applyBorder="1" applyAlignment="1">
      <alignment horizontal="center" vertical="center" wrapText="1"/>
    </xf>
    <xf numFmtId="1" fontId="11" fillId="5" borderId="1" xfId="0" applyNumberFormat="1" applyFont="1" applyFill="1" applyBorder="1" applyAlignment="1">
      <alignment horizontal="center" vertical="center"/>
    </xf>
    <xf numFmtId="0" fontId="2" fillId="5" borderId="1" xfId="0" applyFont="1" applyFill="1" applyBorder="1"/>
    <xf numFmtId="1" fontId="11" fillId="6" borderId="1" xfId="0" applyNumberFormat="1" applyFont="1" applyFill="1" applyBorder="1" applyAlignment="1">
      <alignment horizontal="center" vertical="center"/>
    </xf>
    <xf numFmtId="0" fontId="2" fillId="6" borderId="1" xfId="0" applyFont="1" applyFill="1" applyBorder="1"/>
    <xf numFmtId="0" fontId="12" fillId="0" borderId="11" xfId="0" applyFont="1" applyBorder="1" applyAlignment="1">
      <alignment horizontal="center" wrapText="1"/>
    </xf>
    <xf numFmtId="0" fontId="12" fillId="0" borderId="0" xfId="0" applyFont="1" applyBorder="1" applyAlignment="1">
      <alignment horizontal="center" wrapText="1"/>
    </xf>
    <xf numFmtId="0" fontId="3" fillId="2" borderId="2" xfId="0" applyFont="1" applyFill="1" applyBorder="1" applyAlignment="1">
      <alignment horizontal="right" vertical="center"/>
    </xf>
    <xf numFmtId="164" fontId="13" fillId="7" borderId="1" xfId="0" applyNumberFormat="1" applyFont="1" applyFill="1" applyBorder="1" applyAlignment="1">
      <alignment horizontal="center"/>
    </xf>
    <xf numFmtId="0" fontId="10" fillId="4" borderId="6" xfId="0" applyFont="1" applyFill="1" applyBorder="1" applyAlignment="1">
      <alignment horizontal="center" vertical="center" wrapText="1"/>
    </xf>
    <xf numFmtId="0" fontId="10" fillId="4" borderId="7" xfId="0" applyFont="1" applyFill="1" applyBorder="1" applyAlignment="1">
      <alignment horizontal="center" vertical="center" wrapText="1"/>
    </xf>
    <xf numFmtId="1" fontId="11" fillId="5" borderId="2" xfId="0" applyNumberFormat="1" applyFont="1" applyFill="1" applyBorder="1" applyAlignment="1">
      <alignment horizontal="center" vertical="center"/>
    </xf>
    <xf numFmtId="10" fontId="6" fillId="5" borderId="6" xfId="0" applyNumberFormat="1" applyFont="1" applyFill="1" applyBorder="1" applyAlignment="1">
      <alignment horizontal="center" vertical="center"/>
    </xf>
    <xf numFmtId="164" fontId="14" fillId="5" borderId="1" xfId="0" applyNumberFormat="1" applyFont="1" applyFill="1" applyBorder="1" applyAlignment="1">
      <alignment horizontal="center"/>
    </xf>
    <xf numFmtId="164" fontId="14" fillId="5" borderId="1" xfId="0" applyNumberFormat="1" applyFont="1" applyFill="1" applyBorder="1" applyAlignment="1">
      <alignment horizontal="center" vertical="center"/>
    </xf>
    <xf numFmtId="10" fontId="5" fillId="5" borderId="1" xfId="0" applyNumberFormat="1" applyFont="1" applyFill="1" applyBorder="1" applyAlignment="1">
      <alignment horizontal="center"/>
    </xf>
    <xf numFmtId="2" fontId="6" fillId="5" borderId="7" xfId="0" applyNumberFormat="1" applyFont="1" applyFill="1" applyBorder="1" applyAlignment="1">
      <alignment horizontal="center" vertical="center"/>
    </xf>
    <xf numFmtId="1" fontId="11" fillId="6" borderId="2" xfId="0" applyNumberFormat="1" applyFont="1" applyFill="1" applyBorder="1" applyAlignment="1">
      <alignment horizontal="center" vertical="center"/>
    </xf>
    <xf numFmtId="10" fontId="6" fillId="6" borderId="6" xfId="0" applyNumberFormat="1" applyFont="1" applyFill="1" applyBorder="1" applyAlignment="1">
      <alignment horizontal="center" vertical="center"/>
    </xf>
    <xf numFmtId="164" fontId="14" fillId="6" borderId="1" xfId="0" applyNumberFormat="1" applyFont="1" applyFill="1" applyBorder="1" applyAlignment="1">
      <alignment horizontal="center"/>
    </xf>
    <xf numFmtId="164" fontId="14" fillId="6" borderId="1" xfId="0" applyNumberFormat="1" applyFont="1" applyFill="1" applyBorder="1" applyAlignment="1">
      <alignment horizontal="center" vertical="center"/>
    </xf>
    <xf numFmtId="10" fontId="5" fillId="6" borderId="1" xfId="0" applyNumberFormat="1" applyFont="1" applyFill="1" applyBorder="1" applyAlignment="1">
      <alignment horizontal="center"/>
    </xf>
    <xf numFmtId="2" fontId="6" fillId="6" borderId="7" xfId="0" applyNumberFormat="1" applyFont="1" applyFill="1" applyBorder="1" applyAlignment="1">
      <alignment horizontal="center" vertical="center"/>
    </xf>
    <xf numFmtId="10" fontId="6" fillId="5" borderId="8" xfId="0" applyNumberFormat="1" applyFont="1" applyFill="1" applyBorder="1" applyAlignment="1">
      <alignment horizontal="center" vertical="center"/>
    </xf>
    <xf numFmtId="10" fontId="6" fillId="5" borderId="9" xfId="0" applyNumberFormat="1" applyFont="1" applyFill="1" applyBorder="1" applyAlignment="1">
      <alignment horizontal="center" vertical="center"/>
    </xf>
    <xf numFmtId="164" fontId="14" fillId="5" borderId="9" xfId="0" applyNumberFormat="1" applyFont="1" applyFill="1" applyBorder="1" applyAlignment="1">
      <alignment horizontal="center"/>
    </xf>
    <xf numFmtId="164" fontId="14" fillId="5" borderId="9" xfId="0" applyNumberFormat="1" applyFont="1" applyFill="1" applyBorder="1" applyAlignment="1">
      <alignment horizontal="center" vertical="center"/>
    </xf>
    <xf numFmtId="10" fontId="5" fillId="5" borderId="9" xfId="0" applyNumberFormat="1" applyFont="1" applyFill="1" applyBorder="1" applyAlignment="1">
      <alignment horizontal="center"/>
    </xf>
    <xf numFmtId="2" fontId="6" fillId="5" borderId="10" xfId="0" applyNumberFormat="1" applyFont="1" applyFill="1" applyBorder="1" applyAlignment="1">
      <alignment horizontal="center" vertical="center"/>
    </xf>
    <xf numFmtId="0" fontId="3" fillId="2" borderId="0" xfId="0" applyFont="1" applyFill="1" applyBorder="1" applyAlignment="1">
      <alignment horizontal="center" vertical="center"/>
    </xf>
    <xf numFmtId="0" fontId="15" fillId="0" borderId="0" xfId="0" applyFont="1"/>
    <xf numFmtId="0" fontId="1" fillId="10" borderId="0" xfId="0" applyFont="1" applyFill="1" applyAlignment="1">
      <alignment horizontal="center" vertical="center"/>
    </xf>
    <xf numFmtId="0" fontId="16" fillId="10" borderId="0" xfId="0" applyFont="1" applyFill="1" applyBorder="1" applyAlignment="1">
      <alignment horizontal="center" vertical="center"/>
    </xf>
    <xf numFmtId="0" fontId="3" fillId="10" borderId="2" xfId="0" applyFont="1" applyFill="1" applyBorder="1" applyAlignment="1">
      <alignment horizontal="center" vertical="center"/>
    </xf>
    <xf numFmtId="0" fontId="8" fillId="11" borderId="3" xfId="0" applyFont="1" applyFill="1" applyBorder="1" applyAlignment="1">
      <alignment horizontal="center" vertical="center"/>
    </xf>
    <xf numFmtId="0" fontId="8" fillId="11" borderId="4" xfId="0" applyFont="1" applyFill="1" applyBorder="1" applyAlignment="1">
      <alignment horizontal="center" vertical="center"/>
    </xf>
    <xf numFmtId="0" fontId="8" fillId="11" borderId="5" xfId="0" applyFont="1" applyFill="1" applyBorder="1" applyAlignment="1">
      <alignment horizontal="center" vertical="center"/>
    </xf>
    <xf numFmtId="0" fontId="17" fillId="8" borderId="0" xfId="0" applyFont="1" applyFill="1" applyAlignment="1">
      <alignment horizontal="center"/>
    </xf>
    <xf numFmtId="0" fontId="17" fillId="9" borderId="12" xfId="0" applyFont="1" applyFill="1" applyBorder="1" applyAlignment="1">
      <alignment horizontal="center" vertical="center"/>
    </xf>
    <xf numFmtId="0" fontId="17" fillId="9" borderId="13" xfId="0" applyFont="1" applyFill="1" applyBorder="1" applyAlignment="1">
      <alignment horizontal="center" vertical="center"/>
    </xf>
    <xf numFmtId="0" fontId="17" fillId="9" borderId="14" xfId="0" applyFont="1" applyFill="1" applyBorder="1" applyAlignment="1">
      <alignment horizontal="center" vertical="center"/>
    </xf>
    <xf numFmtId="0" fontId="15" fillId="0" borderId="6" xfId="0" applyFont="1" applyBorder="1" applyAlignment="1">
      <alignment wrapText="1"/>
    </xf>
    <xf numFmtId="0" fontId="15" fillId="0" borderId="1" xfId="0" applyFont="1" applyBorder="1" applyAlignment="1">
      <alignment wrapText="1"/>
    </xf>
    <xf numFmtId="0" fontId="15" fillId="0" borderId="7" xfId="0" applyFont="1" applyBorder="1" applyAlignment="1">
      <alignment wrapText="1"/>
    </xf>
    <xf numFmtId="0" fontId="15" fillId="0" borderId="8" xfId="0" applyFont="1" applyBorder="1"/>
    <xf numFmtId="0" fontId="15" fillId="0" borderId="9" xfId="0" applyFont="1" applyBorder="1" applyAlignment="1">
      <alignment wrapText="1"/>
    </xf>
    <xf numFmtId="0" fontId="15" fillId="0" borderId="10" xfId="0" applyFont="1" applyBorder="1" applyAlignment="1">
      <alignment wrapText="1"/>
    </xf>
    <xf numFmtId="0" fontId="18" fillId="10" borderId="0" xfId="0" applyFont="1" applyFill="1" applyBorder="1" applyAlignment="1">
      <alignment horizontal="center" vertical="center"/>
    </xf>
    <xf numFmtId="0" fontId="9" fillId="11" borderId="0" xfId="0" applyFont="1" applyFill="1" applyBorder="1" applyAlignment="1">
      <alignment horizontal="center" vertical="center"/>
    </xf>
    <xf numFmtId="10" fontId="15" fillId="0" borderId="0" xfId="0" applyNumberFormat="1" applyFont="1"/>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C00000"/>
      <rgbColor rgb="FF008000"/>
      <rgbColor rgb="FF00008B"/>
      <rgbColor rgb="FFC55A11"/>
      <rgbColor rgb="FF800080"/>
      <rgbColor rgb="FF2E75B6"/>
      <rgbColor rgb="FFD9D9D9"/>
      <rgbColor rgb="FF878787"/>
      <rgbColor rgb="FF9999FF"/>
      <rgbColor rgb="FF7B2C2C"/>
      <rgbColor rgb="FFFFF2CC"/>
      <rgbColor rgb="FFDEEAF1"/>
      <rgbColor rgb="FF660066"/>
      <rgbColor rgb="FFFF8080"/>
      <rgbColor rgb="FF0070C0"/>
      <rgbColor rgb="FFBDD7EE"/>
      <rgbColor rgb="FF000080"/>
      <rgbColor rgb="FFFF00FF"/>
      <rgbColor rgb="FFFFFF00"/>
      <rgbColor rgb="FF00FFFF"/>
      <rgbColor rgb="FF800080"/>
      <rgbColor rgb="FF800000"/>
      <rgbColor rgb="FF008080"/>
      <rgbColor rgb="FF0000FF"/>
      <rgbColor rgb="FF00B0F0"/>
      <rgbColor rgb="FFCCFFFF"/>
      <rgbColor rgb="FFCCFFCC"/>
      <rgbColor rgb="FFFFFF99"/>
      <rgbColor rgb="FF99CCFF"/>
      <rgbColor rgb="FFFF99CC"/>
      <rgbColor rgb="FFCC99FF"/>
      <rgbColor rgb="FFFFCC99"/>
      <rgbColor rgb="FF4472C4"/>
      <rgbColor rgb="FF33CCCC"/>
      <rgbColor rgb="FF99CC00"/>
      <rgbColor rgb="FFF4B942"/>
      <rgbColor rgb="FFFF9900"/>
      <rgbColor rgb="FFED7D31"/>
      <rgbColor rgb="FF666699"/>
      <rgbColor rgb="FF70AD47"/>
      <rgbColor rgb="FF1F4E79"/>
      <rgbColor rgb="FF00B050"/>
      <rgbColor rgb="FF375623"/>
      <rgbColor rgb="FF404040"/>
      <rgbColor rgb="FF843C0C"/>
      <rgbColor rgb="FF7030A0"/>
      <rgbColor rgb="FF264478"/>
      <rgbColor rgb="FF403152"/>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charts/_rels/chart7.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NZ" sz="1800" b="1" strike="noStrike" spc="-1">
                <a:solidFill>
                  <a:srgbClr val="000000"/>
                </a:solidFill>
                <a:latin typeface="Calibri"/>
              </a:rPr>
              <a:t>New Zealand: ECS vs GDP &amp; GNI per Capita</a:t>
            </a:r>
          </a:p>
        </c:rich>
      </c:tx>
      <c:overlay val="0"/>
      <c:spPr>
        <a:noFill/>
        <a:ln w="0">
          <a:noFill/>
        </a:ln>
      </c:spPr>
    </c:title>
    <c:autoTitleDeleted val="0"/>
    <c:plotArea>
      <c:layout/>
      <c:lineChart>
        <c:grouping val="standard"/>
        <c:varyColors val="0"/>
        <c:ser>
          <c:idx val="0"/>
          <c:order val="0"/>
          <c:tx>
            <c:strRef>
              <c:f>Data!$B$3</c:f>
              <c:strCache>
                <c:ptCount val="1"/>
                <c:pt idx="0">
                  <c:v>ECS (NZ)</c:v>
                </c:pt>
              </c:strCache>
            </c:strRef>
          </c:tx>
          <c:spPr>
            <a:ln w="21960">
              <a:solidFill>
                <a:srgbClr val="C0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Data!$B$4:$B$34</c:f>
              <c:numCache>
                <c:formatCode>0.00%</c:formatCode>
                <c:ptCount val="31"/>
                <c:pt idx="0">
                  <c:v>3.4483081999999998E-2</c:v>
                </c:pt>
                <c:pt idx="1">
                  <c:v>2.8720197999999999E-2</c:v>
                </c:pt>
                <c:pt idx="2">
                  <c:v>3.4538795999999997E-2</c:v>
                </c:pt>
                <c:pt idx="3">
                  <c:v>3.645719E-2</c:v>
                </c:pt>
                <c:pt idx="4">
                  <c:v>3.5570015000000003E-2</c:v>
                </c:pt>
                <c:pt idx="5">
                  <c:v>4.2906918000000002E-2</c:v>
                </c:pt>
                <c:pt idx="6">
                  <c:v>4.1330082999999997E-2</c:v>
                </c:pt>
                <c:pt idx="7">
                  <c:v>3.8838103999999998E-2</c:v>
                </c:pt>
                <c:pt idx="8">
                  <c:v>3.6008219000000001E-2</c:v>
                </c:pt>
                <c:pt idx="9">
                  <c:v>3.8469769000000001E-2</c:v>
                </c:pt>
                <c:pt idx="10">
                  <c:v>4.2683688999999997E-2</c:v>
                </c:pt>
                <c:pt idx="11">
                  <c:v>4.4574098999999999E-2</c:v>
                </c:pt>
                <c:pt idx="12">
                  <c:v>4.2837582999999999E-2</c:v>
                </c:pt>
                <c:pt idx="13">
                  <c:v>3.2050173000000001E-2</c:v>
                </c:pt>
                <c:pt idx="14">
                  <c:v>3.2284287000000002E-2</c:v>
                </c:pt>
                <c:pt idx="15">
                  <c:v>3.4166456999999997E-2</c:v>
                </c:pt>
                <c:pt idx="16">
                  <c:v>3.0056099999999999E-2</c:v>
                </c:pt>
                <c:pt idx="17">
                  <c:v>3.1768585000000002E-2</c:v>
                </c:pt>
                <c:pt idx="18">
                  <c:v>3.7837254000000001E-2</c:v>
                </c:pt>
                <c:pt idx="19">
                  <c:v>4.7905547E-2</c:v>
                </c:pt>
                <c:pt idx="20">
                  <c:v>5.2777580999999997E-2</c:v>
                </c:pt>
                <c:pt idx="21">
                  <c:v>5.5883953E-2</c:v>
                </c:pt>
                <c:pt idx="22">
                  <c:v>6.0759905000000003E-2</c:v>
                </c:pt>
                <c:pt idx="23">
                  <c:v>7.1008657000000003E-2</c:v>
                </c:pt>
                <c:pt idx="24">
                  <c:v>5.4111996000000002E-2</c:v>
                </c:pt>
                <c:pt idx="25">
                  <c:v>6.2885645000000004E-2</c:v>
                </c:pt>
              </c:numCache>
            </c:numRef>
          </c:val>
          <c:smooth val="1"/>
          <c:extLst>
            <c:ext xmlns:c16="http://schemas.microsoft.com/office/drawing/2014/chart" uri="{C3380CC4-5D6E-409C-BE32-E72D297353CC}">
              <c16:uniqueId val="{00000000-6A30-4DC6-8E6D-AFE474EE84F0}"/>
            </c:ext>
          </c:extLst>
        </c:ser>
        <c:ser>
          <c:idx val="1"/>
          <c:order val="1"/>
          <c:tx>
            <c:strRef>
              <c:f>Data!$C$3</c:f>
              <c:strCache>
                <c:ptCount val="1"/>
                <c:pt idx="0">
                  <c:v>GDP % Chg (NZ)</c:v>
                </c:pt>
              </c:strCache>
            </c:strRef>
          </c:tx>
          <c:spPr>
            <a:ln w="21960">
              <a:solidFill>
                <a:srgbClr val="2E75B6"/>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Data!$C$4:$C$34</c:f>
              <c:numCache>
                <c:formatCode>0.00%</c:formatCode>
                <c:ptCount val="31"/>
                <c:pt idx="0">
                  <c:v>1.6149793624204298E-2</c:v>
                </c:pt>
                <c:pt idx="1">
                  <c:v>2.7056582510303299E-2</c:v>
                </c:pt>
                <c:pt idx="2">
                  <c:v>9.5916665470187502E-3</c:v>
                </c:pt>
                <c:pt idx="3">
                  <c:v>-3.4539433481123199E-3</c:v>
                </c:pt>
                <c:pt idx="4">
                  <c:v>1.55216537770372E-3</c:v>
                </c:pt>
                <c:pt idx="5">
                  <c:v>1.3648455016812E-3</c:v>
                </c:pt>
                <c:pt idx="6">
                  <c:v>-1.08774988874848E-2</c:v>
                </c:pt>
                <c:pt idx="7">
                  <c:v>1.11660327812382E-2</c:v>
                </c:pt>
                <c:pt idx="8">
                  <c:v>6.41638825463373E-2</c:v>
                </c:pt>
                <c:pt idx="9">
                  <c:v>5.1083130566602797E-2</c:v>
                </c:pt>
                <c:pt idx="10">
                  <c:v>4.5920092095193203E-2</c:v>
                </c:pt>
                <c:pt idx="11">
                  <c:v>3.6366232229504199E-2</c:v>
                </c:pt>
                <c:pt idx="12">
                  <c:v>1.9753158378018599E-2</c:v>
                </c:pt>
                <c:pt idx="13">
                  <c:v>6.0870675899180101E-3</c:v>
                </c:pt>
                <c:pt idx="14">
                  <c:v>5.5116551831002898E-2</c:v>
                </c:pt>
                <c:pt idx="15">
                  <c:v>2.76728296451027E-2</c:v>
                </c:pt>
                <c:pt idx="16">
                  <c:v>3.4358683906344799E-2</c:v>
                </c:pt>
                <c:pt idx="17">
                  <c:v>4.8738986899248701E-2</c:v>
                </c:pt>
                <c:pt idx="18">
                  <c:v>4.63657343278902E-2</c:v>
                </c:pt>
                <c:pt idx="19">
                  <c:v>3.8091792610019701E-2</c:v>
                </c:pt>
                <c:pt idx="20">
                  <c:v>3.4005476756716203E-2</c:v>
                </c:pt>
                <c:pt idx="21">
                  <c:v>2.9259758507939299E-2</c:v>
                </c:pt>
                <c:pt idx="22">
                  <c:v>2.8646279822343301E-2</c:v>
                </c:pt>
                <c:pt idx="23">
                  <c:v>-1.30930001923564E-2</c:v>
                </c:pt>
                <c:pt idx="24">
                  <c:v>-5.3763164295041596E-3</c:v>
                </c:pt>
                <c:pt idx="25">
                  <c:v>1.37039191023831E-2</c:v>
                </c:pt>
                <c:pt idx="26">
                  <c:v>2.4752047878877199E-2</c:v>
                </c:pt>
                <c:pt idx="27">
                  <c:v>2.32968426303981E-2</c:v>
                </c:pt>
                <c:pt idx="28">
                  <c:v>2.7439851243847398E-2</c:v>
                </c:pt>
                <c:pt idx="29">
                  <c:v>3.5761757996746399E-2</c:v>
                </c:pt>
                <c:pt idx="30">
                  <c:v>3.3929999330520003E-2</c:v>
                </c:pt>
              </c:numCache>
            </c:numRef>
          </c:val>
          <c:smooth val="1"/>
          <c:extLst>
            <c:ext xmlns:c16="http://schemas.microsoft.com/office/drawing/2014/chart" uri="{C3380CC4-5D6E-409C-BE32-E72D297353CC}">
              <c16:uniqueId val="{00000001-6A30-4DC6-8E6D-AFE474EE84F0}"/>
            </c:ext>
          </c:extLst>
        </c:ser>
        <c:ser>
          <c:idx val="2"/>
          <c:order val="2"/>
          <c:tx>
            <c:strRef>
              <c:f>Data!$D$3</c:f>
              <c:strCache>
                <c:ptCount val="1"/>
                <c:pt idx="0">
                  <c:v>GNI p.c. % Chg (NZ)</c:v>
                </c:pt>
              </c:strCache>
            </c:strRef>
          </c:tx>
          <c:spPr>
            <a:ln w="21960">
              <a:solidFill>
                <a:srgbClr val="ED7D3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Data!$D$4:$D$34</c:f>
              <c:numCache>
                <c:formatCode>0.00%</c:formatCode>
                <c:ptCount val="31"/>
                <c:pt idx="0">
                  <c:v>9.8909793368449107E-3</c:v>
                </c:pt>
                <c:pt idx="1">
                  <c:v>2.7309684585283701E-2</c:v>
                </c:pt>
                <c:pt idx="2">
                  <c:v>9.27628607252586E-4</c:v>
                </c:pt>
                <c:pt idx="3">
                  <c:v>-6.1855369735820901E-3</c:v>
                </c:pt>
                <c:pt idx="4">
                  <c:v>-3.2443077712315501E-3</c:v>
                </c:pt>
                <c:pt idx="5">
                  <c:v>-7.8374382007487496E-3</c:v>
                </c:pt>
                <c:pt idx="6">
                  <c:v>-5.7657834052114901E-2</c:v>
                </c:pt>
                <c:pt idx="7">
                  <c:v>6.8703490491998302E-4</c:v>
                </c:pt>
                <c:pt idx="8">
                  <c:v>5.2098870160936998E-2</c:v>
                </c:pt>
                <c:pt idx="9">
                  <c:v>3.7204187571828598E-2</c:v>
                </c:pt>
                <c:pt idx="10">
                  <c:v>3.07156131607229E-2</c:v>
                </c:pt>
                <c:pt idx="11">
                  <c:v>2.0093171884206999E-2</c:v>
                </c:pt>
                <c:pt idx="12">
                  <c:v>6.4577756503756203E-3</c:v>
                </c:pt>
                <c:pt idx="13">
                  <c:v>-2.8002546060925202E-3</c:v>
                </c:pt>
                <c:pt idx="14">
                  <c:v>4.9586619706207397E-2</c:v>
                </c:pt>
                <c:pt idx="15">
                  <c:v>2.1652297734902501E-2</c:v>
                </c:pt>
                <c:pt idx="16">
                  <c:v>2.8281276872956101E-2</c:v>
                </c:pt>
                <c:pt idx="17">
                  <c:v>3.1348955401217897E-2</c:v>
                </c:pt>
                <c:pt idx="18">
                  <c:v>2.8218702478210001E-2</c:v>
                </c:pt>
                <c:pt idx="19">
                  <c:v>1.29798162155919E-2</c:v>
                </c:pt>
                <c:pt idx="20">
                  <c:v>1.37643477629763E-2</c:v>
                </c:pt>
                <c:pt idx="21">
                  <c:v>1.43982737769177E-2</c:v>
                </c:pt>
                <c:pt idx="22">
                  <c:v>1.2913586783986899E-2</c:v>
                </c:pt>
                <c:pt idx="23">
                  <c:v>-2.2270229046382001E-2</c:v>
                </c:pt>
                <c:pt idx="24">
                  <c:v>1.8397898232509501E-2</c:v>
                </c:pt>
                <c:pt idx="25">
                  <c:v>-7.5483012945085203E-3</c:v>
                </c:pt>
                <c:pt idx="26">
                  <c:v>2.1474970116493599E-2</c:v>
                </c:pt>
                <c:pt idx="27">
                  <c:v>2.2185737812218099E-2</c:v>
                </c:pt>
                <c:pt idx="28">
                  <c:v>1.8980620415507E-2</c:v>
                </c:pt>
                <c:pt idx="29">
                  <c:v>2.03140861230038E-2</c:v>
                </c:pt>
                <c:pt idx="30">
                  <c:v>1.45819174404001E-2</c:v>
                </c:pt>
              </c:numCache>
            </c:numRef>
          </c:val>
          <c:smooth val="1"/>
          <c:extLst>
            <c:ext xmlns:c16="http://schemas.microsoft.com/office/drawing/2014/chart" uri="{C3380CC4-5D6E-409C-BE32-E72D297353CC}">
              <c16:uniqueId val="{00000002-6A30-4DC6-8E6D-AFE474EE84F0}"/>
            </c:ext>
          </c:extLst>
        </c:ser>
        <c:ser>
          <c:idx val="3"/>
          <c:order val="3"/>
          <c:tx>
            <c:strRef>
              <c:f>Data!$G$3</c:f>
              <c:strCache>
                <c:ptCount val="1"/>
                <c:pt idx="0">
                  <c:v>Avg ECS (NZ)</c:v>
                </c:pt>
              </c:strCache>
            </c:strRef>
          </c:tx>
          <c:spPr>
            <a:ln w="21960">
              <a:solidFill>
                <a:srgbClr val="7030A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Data!$G$4:$G$34</c:f>
              <c:numCache>
                <c:formatCode>0.00%</c:formatCode>
                <c:ptCount val="31"/>
                <c:pt idx="0">
                  <c:v>4.2342841730769229E-2</c:v>
                </c:pt>
                <c:pt idx="1">
                  <c:v>4.2342841730769229E-2</c:v>
                </c:pt>
                <c:pt idx="2">
                  <c:v>4.2342841730769229E-2</c:v>
                </c:pt>
                <c:pt idx="3">
                  <c:v>4.2342841730769229E-2</c:v>
                </c:pt>
                <c:pt idx="4">
                  <c:v>4.2342841730769229E-2</c:v>
                </c:pt>
                <c:pt idx="5">
                  <c:v>4.2342841730769229E-2</c:v>
                </c:pt>
                <c:pt idx="6">
                  <c:v>4.2342841730769229E-2</c:v>
                </c:pt>
                <c:pt idx="7">
                  <c:v>4.2342841730769229E-2</c:v>
                </c:pt>
                <c:pt idx="8">
                  <c:v>4.2342841730769229E-2</c:v>
                </c:pt>
                <c:pt idx="9">
                  <c:v>4.2342841730769229E-2</c:v>
                </c:pt>
                <c:pt idx="10">
                  <c:v>4.2342841730769229E-2</c:v>
                </c:pt>
                <c:pt idx="11">
                  <c:v>4.2342841730769229E-2</c:v>
                </c:pt>
                <c:pt idx="12">
                  <c:v>4.2342841730769229E-2</c:v>
                </c:pt>
                <c:pt idx="13">
                  <c:v>4.2342841730769229E-2</c:v>
                </c:pt>
                <c:pt idx="14">
                  <c:v>4.2342841730769229E-2</c:v>
                </c:pt>
                <c:pt idx="15">
                  <c:v>4.2342841730769229E-2</c:v>
                </c:pt>
                <c:pt idx="16">
                  <c:v>4.2342841730769229E-2</c:v>
                </c:pt>
                <c:pt idx="17">
                  <c:v>4.2342841730769229E-2</c:v>
                </c:pt>
                <c:pt idx="18">
                  <c:v>4.2342841730769229E-2</c:v>
                </c:pt>
                <c:pt idx="19">
                  <c:v>4.2342841730769229E-2</c:v>
                </c:pt>
                <c:pt idx="20">
                  <c:v>4.2342841730769229E-2</c:v>
                </c:pt>
                <c:pt idx="21">
                  <c:v>4.2342841730769229E-2</c:v>
                </c:pt>
                <c:pt idx="22">
                  <c:v>4.2342841730769229E-2</c:v>
                </c:pt>
                <c:pt idx="23">
                  <c:v>4.2342841730769229E-2</c:v>
                </c:pt>
                <c:pt idx="24">
                  <c:v>4.2342841730769229E-2</c:v>
                </c:pt>
                <c:pt idx="25">
                  <c:v>4.2342841730769229E-2</c:v>
                </c:pt>
                <c:pt idx="26">
                  <c:v>4.2342841730769229E-2</c:v>
                </c:pt>
                <c:pt idx="27">
                  <c:v>4.2342841730769229E-2</c:v>
                </c:pt>
                <c:pt idx="28">
                  <c:v>4.2342841730769229E-2</c:v>
                </c:pt>
                <c:pt idx="29">
                  <c:v>4.2342841730769229E-2</c:v>
                </c:pt>
                <c:pt idx="30">
                  <c:v>4.2342841730769229E-2</c:v>
                </c:pt>
              </c:numCache>
            </c:numRef>
          </c:val>
          <c:smooth val="1"/>
          <c:extLst>
            <c:ext xmlns:c16="http://schemas.microsoft.com/office/drawing/2014/chart" uri="{C3380CC4-5D6E-409C-BE32-E72D297353CC}">
              <c16:uniqueId val="{00000003-6A30-4DC6-8E6D-AFE474EE84F0}"/>
            </c:ext>
          </c:extLst>
        </c:ser>
        <c:dLbls>
          <c:showLegendKey val="0"/>
          <c:showVal val="0"/>
          <c:showCatName val="0"/>
          <c:showSerName val="0"/>
          <c:showPercent val="0"/>
          <c:showBubbleSize val="0"/>
        </c:dLbls>
        <c:hiLowLines>
          <c:spPr>
            <a:ln w="0">
              <a:noFill/>
            </a:ln>
          </c:spPr>
        </c:hiLowLines>
        <c:smooth val="0"/>
        <c:axId val="75550634"/>
        <c:axId val="86687819"/>
      </c:lineChart>
      <c:catAx>
        <c:axId val="75550634"/>
        <c:scaling>
          <c:orientation val="minMax"/>
        </c:scaling>
        <c:delete val="0"/>
        <c:axPos val="b"/>
        <c:title>
          <c:tx>
            <c:rich>
              <a:bodyPr rot="0"/>
              <a:lstStyle/>
              <a:p>
                <a:pPr>
                  <a:defRPr sz="1000" b="1" strike="noStrike" spc="-1">
                    <a:solidFill>
                      <a:srgbClr val="000000"/>
                    </a:solidFill>
                    <a:latin typeface="Calibri"/>
                  </a:defRPr>
                </a:pPr>
                <a:r>
                  <a:rPr lang="en-NZ" sz="1000" b="1" strike="noStrike" spc="-1">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6687819"/>
        <c:crosses val="autoZero"/>
        <c:auto val="1"/>
        <c:lblAlgn val="ctr"/>
        <c:lblOffset val="100"/>
        <c:noMultiLvlLbl val="0"/>
      </c:catAx>
      <c:valAx>
        <c:axId val="8668781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NZ" sz="1000" b="1" strike="noStrike" spc="-1">
                    <a:solidFill>
                      <a:srgbClr val="000000"/>
                    </a:solidFill>
                    <a:latin typeface="Calibri"/>
                  </a:rPr>
                  <a:t>Rate / Share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5550634"/>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38100">
      <a:solidFill>
        <a:schemeClr val="tx2">
          <a:lumMod val="50000"/>
        </a:schemeClr>
      </a:solidFill>
      <a:round/>
    </a:ln>
  </c:sp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NZ" sz="1800" b="1" strike="noStrike" spc="-1">
                <a:solidFill>
                  <a:srgbClr val="000000"/>
                </a:solidFill>
                <a:latin typeface="Calibri"/>
              </a:rPr>
              <a:t>Australia: ECS vs GDP &amp; GNI per Capita</a:t>
            </a:r>
          </a:p>
        </c:rich>
      </c:tx>
      <c:overlay val="0"/>
      <c:spPr>
        <a:noFill/>
        <a:ln w="0">
          <a:noFill/>
        </a:ln>
      </c:spPr>
    </c:title>
    <c:autoTitleDeleted val="0"/>
    <c:plotArea>
      <c:layout/>
      <c:lineChart>
        <c:grouping val="standard"/>
        <c:varyColors val="0"/>
        <c:ser>
          <c:idx val="0"/>
          <c:order val="0"/>
          <c:tx>
            <c:strRef>
              <c:f>Data!$I$3</c:f>
              <c:strCache>
                <c:ptCount val="1"/>
                <c:pt idx="0">
                  <c:v>ECS(AU)</c:v>
                </c:pt>
              </c:strCache>
            </c:strRef>
          </c:tx>
          <c:spPr>
            <a:ln w="21960">
              <a:solidFill>
                <a:srgbClr val="843C0C"/>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Data!$I$4:$I$34</c:f>
              <c:numCache>
                <c:formatCode>0.00%</c:formatCode>
                <c:ptCount val="31"/>
                <c:pt idx="0">
                  <c:v>4.0567764999999999E-2</c:v>
                </c:pt>
                <c:pt idx="1">
                  <c:v>2.7576557000000002E-2</c:v>
                </c:pt>
                <c:pt idx="2">
                  <c:v>2.9972722E-2</c:v>
                </c:pt>
                <c:pt idx="3">
                  <c:v>2.8792076999999999E-2</c:v>
                </c:pt>
                <c:pt idx="4">
                  <c:v>3.0243045E-2</c:v>
                </c:pt>
                <c:pt idx="5">
                  <c:v>3.5428169000000002E-2</c:v>
                </c:pt>
                <c:pt idx="6">
                  <c:v>3.2890838999999998E-2</c:v>
                </c:pt>
                <c:pt idx="7">
                  <c:v>2.8840162999999999E-2</c:v>
                </c:pt>
                <c:pt idx="8">
                  <c:v>2.5682264E-2</c:v>
                </c:pt>
                <c:pt idx="9">
                  <c:v>2.4404142E-2</c:v>
                </c:pt>
                <c:pt idx="10">
                  <c:v>2.4847681E-2</c:v>
                </c:pt>
                <c:pt idx="11">
                  <c:v>2.6141646000000001E-2</c:v>
                </c:pt>
                <c:pt idx="12">
                  <c:v>2.4673924E-2</c:v>
                </c:pt>
                <c:pt idx="13">
                  <c:v>1.7740103E-2</c:v>
                </c:pt>
                <c:pt idx="14">
                  <c:v>1.9410835000000001E-2</c:v>
                </c:pt>
                <c:pt idx="15">
                  <c:v>2.5869191999999999E-2</c:v>
                </c:pt>
                <c:pt idx="16">
                  <c:v>2.2514353000000001E-2</c:v>
                </c:pt>
                <c:pt idx="17">
                  <c:v>2.3149573999999999E-2</c:v>
                </c:pt>
                <c:pt idx="18">
                  <c:v>2.5954552999999998E-2</c:v>
                </c:pt>
                <c:pt idx="19">
                  <c:v>2.8458443E-2</c:v>
                </c:pt>
                <c:pt idx="20">
                  <c:v>3.4013048999999997E-2</c:v>
                </c:pt>
                <c:pt idx="21">
                  <c:v>3.4770186000000002E-2</c:v>
                </c:pt>
                <c:pt idx="22">
                  <c:v>3.8241519000000002E-2</c:v>
                </c:pt>
                <c:pt idx="23">
                  <c:v>4.6804853E-2</c:v>
                </c:pt>
                <c:pt idx="24">
                  <c:v>2.9041906999999999E-2</c:v>
                </c:pt>
                <c:pt idx="25">
                  <c:v>3.3486684000000003E-2</c:v>
                </c:pt>
              </c:numCache>
            </c:numRef>
          </c:val>
          <c:smooth val="1"/>
          <c:extLst>
            <c:ext xmlns:c16="http://schemas.microsoft.com/office/drawing/2014/chart" uri="{C3380CC4-5D6E-409C-BE32-E72D297353CC}">
              <c16:uniqueId val="{00000000-2989-483F-8A47-E87052DAC163}"/>
            </c:ext>
          </c:extLst>
        </c:ser>
        <c:ser>
          <c:idx val="1"/>
          <c:order val="1"/>
          <c:tx>
            <c:strRef>
              <c:f>Data!$J$3</c:f>
              <c:strCache>
                <c:ptCount val="1"/>
                <c:pt idx="0">
                  <c:v>GDP % Chg (AU)</c:v>
                </c:pt>
              </c:strCache>
            </c:strRef>
          </c:tx>
          <c:spPr>
            <a:ln w="21960">
              <a:solidFill>
                <a:srgbClr val="1F4E79"/>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Data!$J$4:$J$34</c:f>
              <c:numCache>
                <c:formatCode>0.00%</c:formatCode>
                <c:ptCount val="31"/>
                <c:pt idx="0">
                  <c:v>5.2494805114085899E-2</c:v>
                </c:pt>
                <c:pt idx="1">
                  <c:v>4.1015278981464898E-2</c:v>
                </c:pt>
                <c:pt idx="2">
                  <c:v>2.5744927136275499E-2</c:v>
                </c:pt>
                <c:pt idx="3">
                  <c:v>5.7690381847342001E-2</c:v>
                </c:pt>
                <c:pt idx="4">
                  <c:v>3.8787000059352601E-2</c:v>
                </c:pt>
                <c:pt idx="5">
                  <c:v>3.5291348844549202E-2</c:v>
                </c:pt>
                <c:pt idx="6">
                  <c:v>-3.79883393800185E-3</c:v>
                </c:pt>
                <c:pt idx="7">
                  <c:v>3.9900703307603202E-3</c:v>
                </c:pt>
                <c:pt idx="8">
                  <c:v>4.0601347685168702E-2</c:v>
                </c:pt>
                <c:pt idx="9">
                  <c:v>4.03794657229683E-2</c:v>
                </c:pt>
                <c:pt idx="10">
                  <c:v>3.87904043958818E-2</c:v>
                </c:pt>
                <c:pt idx="11">
                  <c:v>3.9491407216512897E-2</c:v>
                </c:pt>
                <c:pt idx="12">
                  <c:v>3.9473418040174603E-2</c:v>
                </c:pt>
                <c:pt idx="13">
                  <c:v>4.4382434282081801E-2</c:v>
                </c:pt>
                <c:pt idx="14">
                  <c:v>5.0070963540992601E-2</c:v>
                </c:pt>
                <c:pt idx="15">
                  <c:v>3.86865768166436E-2</c:v>
                </c:pt>
                <c:pt idx="16">
                  <c:v>1.92938679706415E-2</c:v>
                </c:pt>
                <c:pt idx="17">
                  <c:v>3.8566867207919998E-2</c:v>
                </c:pt>
                <c:pt idx="18">
                  <c:v>3.0707987214718201E-2</c:v>
                </c:pt>
                <c:pt idx="19">
                  <c:v>4.1493743448779798E-2</c:v>
                </c:pt>
                <c:pt idx="20">
                  <c:v>3.2066423006507999E-2</c:v>
                </c:pt>
                <c:pt idx="21">
                  <c:v>2.9828702853226099E-2</c:v>
                </c:pt>
                <c:pt idx="22">
                  <c:v>3.7576578643791797E-2</c:v>
                </c:pt>
                <c:pt idx="23">
                  <c:v>3.7066995060460503E-2</c:v>
                </c:pt>
                <c:pt idx="24">
                  <c:v>1.8196782608441701E-2</c:v>
                </c:pt>
                <c:pt idx="25">
                  <c:v>2.0181821442019701E-2</c:v>
                </c:pt>
                <c:pt idx="26">
                  <c:v>2.37956133560841E-2</c:v>
                </c:pt>
                <c:pt idx="27">
                  <c:v>3.6327203031982301E-2</c:v>
                </c:pt>
                <c:pt idx="28">
                  <c:v>2.4400490620624601E-2</c:v>
                </c:pt>
                <c:pt idx="29">
                  <c:v>2.4998512224341001E-2</c:v>
                </c:pt>
                <c:pt idx="30">
                  <c:v>2.2400285754314402E-2</c:v>
                </c:pt>
              </c:numCache>
            </c:numRef>
          </c:val>
          <c:smooth val="1"/>
          <c:extLst>
            <c:ext xmlns:c16="http://schemas.microsoft.com/office/drawing/2014/chart" uri="{C3380CC4-5D6E-409C-BE32-E72D297353CC}">
              <c16:uniqueId val="{00000001-2989-483F-8A47-E87052DAC163}"/>
            </c:ext>
          </c:extLst>
        </c:ser>
        <c:ser>
          <c:idx val="2"/>
          <c:order val="2"/>
          <c:tx>
            <c:strRef>
              <c:f>Data!$K$3</c:f>
              <c:strCache>
                <c:ptCount val="1"/>
                <c:pt idx="0">
                  <c:v>GNI p.c. % Chg (AU)</c:v>
                </c:pt>
              </c:strCache>
            </c:strRef>
          </c:tx>
          <c:spPr>
            <a:ln w="21960">
              <a:solidFill>
                <a:srgbClr val="F4B94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Data!$K$4:$K$34</c:f>
              <c:numCache>
                <c:formatCode>0.00%</c:formatCode>
                <c:ptCount val="31"/>
                <c:pt idx="0">
                  <c:v>3.3304483292118797E-2</c:v>
                </c:pt>
                <c:pt idx="1">
                  <c:v>2.30792931767934E-2</c:v>
                </c:pt>
                <c:pt idx="2">
                  <c:v>9.44862582282497E-3</c:v>
                </c:pt>
                <c:pt idx="3">
                  <c:v>3.91841744356047E-2</c:v>
                </c:pt>
                <c:pt idx="4">
                  <c:v>1.5007803254688401E-2</c:v>
                </c:pt>
                <c:pt idx="5">
                  <c:v>1.41119099473244E-2</c:v>
                </c:pt>
                <c:pt idx="6">
                  <c:v>-1.6898180457073399E-2</c:v>
                </c:pt>
                <c:pt idx="7">
                  <c:v>-1.46088044927438E-3</c:v>
                </c:pt>
                <c:pt idx="8">
                  <c:v>3.5520168023493601E-2</c:v>
                </c:pt>
                <c:pt idx="9">
                  <c:v>3.0104532173133001E-2</c:v>
                </c:pt>
                <c:pt idx="10">
                  <c:v>2.06281220142428E-2</c:v>
                </c:pt>
                <c:pt idx="11">
                  <c:v>2.48878837826088E-2</c:v>
                </c:pt>
                <c:pt idx="12">
                  <c:v>2.96114247290842E-2</c:v>
                </c:pt>
                <c:pt idx="13">
                  <c:v>3.5707710652393101E-2</c:v>
                </c:pt>
                <c:pt idx="14">
                  <c:v>3.8680671507538497E-2</c:v>
                </c:pt>
                <c:pt idx="15">
                  <c:v>2.8618413177816798E-2</c:v>
                </c:pt>
                <c:pt idx="16">
                  <c:v>6.3156015509858304E-3</c:v>
                </c:pt>
                <c:pt idx="17">
                  <c:v>2.6641231626862199E-2</c:v>
                </c:pt>
                <c:pt idx="18">
                  <c:v>1.71759705957601E-2</c:v>
                </c:pt>
                <c:pt idx="19">
                  <c:v>2.87962176666481E-2</c:v>
                </c:pt>
                <c:pt idx="20">
                  <c:v>9.6185757798892303E-3</c:v>
                </c:pt>
                <c:pt idx="21">
                  <c:v>1.23544318697901E-2</c:v>
                </c:pt>
                <c:pt idx="22">
                  <c:v>2.46568220008936E-2</c:v>
                </c:pt>
                <c:pt idx="23">
                  <c:v>1.99935105633018E-2</c:v>
                </c:pt>
                <c:pt idx="24">
                  <c:v>2.9054167819634802E-3</c:v>
                </c:pt>
                <c:pt idx="25">
                  <c:v>6.9652684040136096E-4</c:v>
                </c:pt>
                <c:pt idx="26">
                  <c:v>6.6797186648975097E-3</c:v>
                </c:pt>
                <c:pt idx="27">
                  <c:v>2.91797011772769E-2</c:v>
                </c:pt>
                <c:pt idx="28">
                  <c:v>1.3346492689372699E-2</c:v>
                </c:pt>
                <c:pt idx="29">
                  <c:v>8.4782568828929098E-3</c:v>
                </c:pt>
                <c:pt idx="30">
                  <c:v>1.5650215410326199E-2</c:v>
                </c:pt>
              </c:numCache>
            </c:numRef>
          </c:val>
          <c:smooth val="1"/>
          <c:extLst>
            <c:ext xmlns:c16="http://schemas.microsoft.com/office/drawing/2014/chart" uri="{C3380CC4-5D6E-409C-BE32-E72D297353CC}">
              <c16:uniqueId val="{00000002-2989-483F-8A47-E87052DAC163}"/>
            </c:ext>
          </c:extLst>
        </c:ser>
        <c:ser>
          <c:idx val="3"/>
          <c:order val="3"/>
          <c:tx>
            <c:strRef>
              <c:f>Data!$N$3</c:f>
              <c:strCache>
                <c:ptCount val="1"/>
                <c:pt idx="0">
                  <c:v>Avg ECS (AU)</c:v>
                </c:pt>
              </c:strCache>
            </c:strRef>
          </c:tx>
          <c:spPr>
            <a:ln w="21960">
              <a:solidFill>
                <a:srgbClr val="375623"/>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Data!$N$4:$N$34</c:f>
              <c:numCache>
                <c:formatCode>0.00%</c:formatCode>
                <c:ptCount val="31"/>
                <c:pt idx="0">
                  <c:v>2.9212163269230776E-2</c:v>
                </c:pt>
                <c:pt idx="1">
                  <c:v>2.9212163269230776E-2</c:v>
                </c:pt>
                <c:pt idx="2">
                  <c:v>2.9212163269230776E-2</c:v>
                </c:pt>
                <c:pt idx="3">
                  <c:v>2.9212163269230776E-2</c:v>
                </c:pt>
                <c:pt idx="4">
                  <c:v>2.9212163269230776E-2</c:v>
                </c:pt>
                <c:pt idx="5">
                  <c:v>2.9212163269230776E-2</c:v>
                </c:pt>
                <c:pt idx="6">
                  <c:v>2.9212163269230776E-2</c:v>
                </c:pt>
                <c:pt idx="7">
                  <c:v>2.9212163269230776E-2</c:v>
                </c:pt>
                <c:pt idx="8">
                  <c:v>2.9212163269230776E-2</c:v>
                </c:pt>
                <c:pt idx="9">
                  <c:v>2.9212163269230776E-2</c:v>
                </c:pt>
                <c:pt idx="10">
                  <c:v>2.9212163269230776E-2</c:v>
                </c:pt>
                <c:pt idx="11">
                  <c:v>2.9212163269230776E-2</c:v>
                </c:pt>
                <c:pt idx="12">
                  <c:v>2.9212163269230776E-2</c:v>
                </c:pt>
                <c:pt idx="13">
                  <c:v>2.9212163269230776E-2</c:v>
                </c:pt>
                <c:pt idx="14">
                  <c:v>2.9212163269230776E-2</c:v>
                </c:pt>
                <c:pt idx="15">
                  <c:v>2.9212163269230776E-2</c:v>
                </c:pt>
                <c:pt idx="16">
                  <c:v>2.9212163269230776E-2</c:v>
                </c:pt>
                <c:pt idx="17">
                  <c:v>2.9212163269230776E-2</c:v>
                </c:pt>
                <c:pt idx="18">
                  <c:v>2.9212163269230776E-2</c:v>
                </c:pt>
                <c:pt idx="19">
                  <c:v>2.9212163269230776E-2</c:v>
                </c:pt>
                <c:pt idx="20">
                  <c:v>2.9212163269230776E-2</c:v>
                </c:pt>
                <c:pt idx="21">
                  <c:v>2.9212163269230776E-2</c:v>
                </c:pt>
                <c:pt idx="22">
                  <c:v>2.9212163269230776E-2</c:v>
                </c:pt>
                <c:pt idx="23">
                  <c:v>2.9212163269230776E-2</c:v>
                </c:pt>
                <c:pt idx="24">
                  <c:v>2.9212163269230776E-2</c:v>
                </c:pt>
                <c:pt idx="25">
                  <c:v>2.9212163269230776E-2</c:v>
                </c:pt>
                <c:pt idx="26">
                  <c:v>2.9212163269230776E-2</c:v>
                </c:pt>
                <c:pt idx="27">
                  <c:v>2.9212163269230776E-2</c:v>
                </c:pt>
                <c:pt idx="28">
                  <c:v>2.9212163269230776E-2</c:v>
                </c:pt>
                <c:pt idx="29">
                  <c:v>2.9212163269230776E-2</c:v>
                </c:pt>
                <c:pt idx="30">
                  <c:v>2.9212163269230776E-2</c:v>
                </c:pt>
              </c:numCache>
            </c:numRef>
          </c:val>
          <c:smooth val="1"/>
          <c:extLst>
            <c:ext xmlns:c16="http://schemas.microsoft.com/office/drawing/2014/chart" uri="{C3380CC4-5D6E-409C-BE32-E72D297353CC}">
              <c16:uniqueId val="{00000003-2989-483F-8A47-E87052DAC163}"/>
            </c:ext>
          </c:extLst>
        </c:ser>
        <c:dLbls>
          <c:showLegendKey val="0"/>
          <c:showVal val="0"/>
          <c:showCatName val="0"/>
          <c:showSerName val="0"/>
          <c:showPercent val="0"/>
          <c:showBubbleSize val="0"/>
        </c:dLbls>
        <c:hiLowLines>
          <c:spPr>
            <a:ln w="0">
              <a:noFill/>
            </a:ln>
          </c:spPr>
        </c:hiLowLines>
        <c:smooth val="0"/>
        <c:axId val="68474600"/>
        <c:axId val="32317089"/>
      </c:lineChart>
      <c:catAx>
        <c:axId val="68474600"/>
        <c:scaling>
          <c:orientation val="minMax"/>
        </c:scaling>
        <c:delete val="0"/>
        <c:axPos val="b"/>
        <c:title>
          <c:tx>
            <c:rich>
              <a:bodyPr rot="0"/>
              <a:lstStyle/>
              <a:p>
                <a:pPr>
                  <a:defRPr sz="1000" b="1" strike="noStrike" spc="-1">
                    <a:solidFill>
                      <a:srgbClr val="000000"/>
                    </a:solidFill>
                    <a:latin typeface="Calibri"/>
                  </a:defRPr>
                </a:pPr>
                <a:r>
                  <a:rPr lang="en-NZ" sz="1000" b="1" strike="noStrike" spc="-1">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2317089"/>
        <c:crosses val="autoZero"/>
        <c:auto val="1"/>
        <c:lblAlgn val="ctr"/>
        <c:lblOffset val="100"/>
        <c:noMultiLvlLbl val="0"/>
      </c:catAx>
      <c:valAx>
        <c:axId val="32317089"/>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NZ" sz="1000" b="1" strike="noStrike" spc="-1">
                    <a:solidFill>
                      <a:srgbClr val="000000"/>
                    </a:solidFill>
                    <a:latin typeface="Calibri"/>
                  </a:rPr>
                  <a:t>Rate / Share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84746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38100">
      <a:solidFill>
        <a:schemeClr val="tx2">
          <a:lumMod val="50000"/>
        </a:schemeClr>
      </a:solidFill>
      <a:round/>
    </a:ln>
  </c:sp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c:style val="2"/>
  <c:chart>
    <c:title>
      <c:tx>
        <c:rich>
          <a:bodyPr rot="0"/>
          <a:lstStyle/>
          <a:p>
            <a:pPr>
              <a:defRPr sz="1800" b="1" strike="noStrike" spc="-1">
                <a:solidFill>
                  <a:srgbClr val="000000"/>
                </a:solidFill>
                <a:latin typeface="Calibri"/>
              </a:defRPr>
            </a:pPr>
            <a:r>
              <a:rPr lang="en-NZ" sz="1800" b="1" strike="noStrike" spc="-1">
                <a:solidFill>
                  <a:srgbClr val="000000"/>
                </a:solidFill>
                <a:latin typeface="Calibri"/>
              </a:rPr>
              <a:t>United Kingdom: ECS vs GDP &amp; GNI per Capita</a:t>
            </a:r>
          </a:p>
        </c:rich>
      </c:tx>
      <c:overlay val="0"/>
      <c:spPr>
        <a:noFill/>
        <a:ln w="0">
          <a:noFill/>
        </a:ln>
      </c:spPr>
    </c:title>
    <c:autoTitleDeleted val="0"/>
    <c:plotArea>
      <c:layout/>
      <c:lineChart>
        <c:grouping val="standard"/>
        <c:varyColors val="0"/>
        <c:ser>
          <c:idx val="0"/>
          <c:order val="0"/>
          <c:tx>
            <c:strRef>
              <c:f>Data!$P$3</c:f>
              <c:strCache>
                <c:ptCount val="1"/>
                <c:pt idx="0">
                  <c:v>ECS (UK)</c:v>
                </c:pt>
              </c:strCache>
            </c:strRef>
          </c:tx>
          <c:spPr>
            <a:ln w="21960">
              <a:solidFill>
                <a:srgbClr val="7B2C2C"/>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Data!$P$4:$P$34</c:f>
              <c:numCache>
                <c:formatCode>0.00%</c:formatCode>
                <c:ptCount val="31"/>
                <c:pt idx="0">
                  <c:v>6.4062674E-2</c:v>
                </c:pt>
                <c:pt idx="1">
                  <c:v>4.4936697999999997E-2</c:v>
                </c:pt>
                <c:pt idx="2">
                  <c:v>4.5595472999999997E-2</c:v>
                </c:pt>
                <c:pt idx="3">
                  <c:v>4.0530898000000003E-2</c:v>
                </c:pt>
                <c:pt idx="4">
                  <c:v>4.1978411E-2</c:v>
                </c:pt>
                <c:pt idx="5">
                  <c:v>4.3719076000000003E-2</c:v>
                </c:pt>
                <c:pt idx="6">
                  <c:v>3.9474292000000001E-2</c:v>
                </c:pt>
                <c:pt idx="7">
                  <c:v>3.7036527999999999E-2</c:v>
                </c:pt>
                <c:pt idx="8">
                  <c:v>3.4859117000000002E-2</c:v>
                </c:pt>
                <c:pt idx="9">
                  <c:v>3.2440838999999999E-2</c:v>
                </c:pt>
                <c:pt idx="10">
                  <c:v>3.2254313999999999E-2</c:v>
                </c:pt>
                <c:pt idx="11">
                  <c:v>3.5732130000000001E-2</c:v>
                </c:pt>
                <c:pt idx="12">
                  <c:v>3.2745642999999998E-2</c:v>
                </c:pt>
                <c:pt idx="13">
                  <c:v>2.5886889999999999E-2</c:v>
                </c:pt>
                <c:pt idx="14">
                  <c:v>2.7438168999999998E-2</c:v>
                </c:pt>
                <c:pt idx="15">
                  <c:v>3.6190567999999999E-2</c:v>
                </c:pt>
                <c:pt idx="16">
                  <c:v>3.3257372E-2</c:v>
                </c:pt>
                <c:pt idx="17">
                  <c:v>3.1082661000000001E-2</c:v>
                </c:pt>
                <c:pt idx="18">
                  <c:v>3.5762657000000003E-2</c:v>
                </c:pt>
                <c:pt idx="19">
                  <c:v>4.0331855999999999E-2</c:v>
                </c:pt>
                <c:pt idx="20">
                  <c:v>4.8675112999999999E-2</c:v>
                </c:pt>
                <c:pt idx="21">
                  <c:v>5.0447132999999998E-2</c:v>
                </c:pt>
                <c:pt idx="22">
                  <c:v>5.2130382000000003E-2</c:v>
                </c:pt>
                <c:pt idx="23">
                  <c:v>6.4955183E-2</c:v>
                </c:pt>
                <c:pt idx="24">
                  <c:v>4.3944189000000002E-2</c:v>
                </c:pt>
                <c:pt idx="25">
                  <c:v>4.9655278999999997E-2</c:v>
                </c:pt>
              </c:numCache>
            </c:numRef>
          </c:val>
          <c:smooth val="1"/>
          <c:extLst>
            <c:ext xmlns:c16="http://schemas.microsoft.com/office/drawing/2014/chart" uri="{C3380CC4-5D6E-409C-BE32-E72D297353CC}">
              <c16:uniqueId val="{00000000-169D-47D7-833F-A193EE5CDBDB}"/>
            </c:ext>
          </c:extLst>
        </c:ser>
        <c:ser>
          <c:idx val="1"/>
          <c:order val="1"/>
          <c:tx>
            <c:strRef>
              <c:f>Data!$Q$3</c:f>
              <c:strCache>
                <c:ptCount val="1"/>
                <c:pt idx="0">
                  <c:v>GDP % Chg (UK)</c:v>
                </c:pt>
              </c:strCache>
            </c:strRef>
          </c:tx>
          <c:spPr>
            <a:ln w="21960">
              <a:solidFill>
                <a:srgbClr val="264478"/>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Data!$Q$4:$Q$34</c:f>
              <c:numCache>
                <c:formatCode>0.00%</c:formatCode>
                <c:ptCount val="31"/>
                <c:pt idx="0">
                  <c:v>4.1873056551593603E-2</c:v>
                </c:pt>
                <c:pt idx="1">
                  <c:v>3.1532520728592701E-2</c:v>
                </c:pt>
                <c:pt idx="2">
                  <c:v>5.3594846585044001E-2</c:v>
                </c:pt>
                <c:pt idx="3">
                  <c:v>5.78739995952742E-2</c:v>
                </c:pt>
                <c:pt idx="4">
                  <c:v>2.5828950669910099E-2</c:v>
                </c:pt>
                <c:pt idx="5">
                  <c:v>7.1688296281872997E-3</c:v>
                </c:pt>
                <c:pt idx="6">
                  <c:v>-1.11898405289487E-2</c:v>
                </c:pt>
                <c:pt idx="7">
                  <c:v>3.5987241549750599E-3</c:v>
                </c:pt>
                <c:pt idx="8">
                  <c:v>2.50701367525181E-2</c:v>
                </c:pt>
                <c:pt idx="9">
                  <c:v>3.8850747754034701E-2</c:v>
                </c:pt>
                <c:pt idx="10">
                  <c:v>2.50637285243695E-2</c:v>
                </c:pt>
                <c:pt idx="11">
                  <c:v>2.54873441364151E-2</c:v>
                </c:pt>
                <c:pt idx="12">
                  <c:v>3.1271784620208402E-2</c:v>
                </c:pt>
                <c:pt idx="13">
                  <c:v>3.1907793716674501E-2</c:v>
                </c:pt>
                <c:pt idx="14">
                  <c:v>3.2833482043775897E-2</c:v>
                </c:pt>
                <c:pt idx="15">
                  <c:v>3.7449624430463201E-2</c:v>
                </c:pt>
                <c:pt idx="16">
                  <c:v>2.7261073375417302E-2</c:v>
                </c:pt>
                <c:pt idx="17">
                  <c:v>2.3972482840580199E-2</c:v>
                </c:pt>
                <c:pt idx="18">
                  <c:v>3.4662388982013001E-2</c:v>
                </c:pt>
                <c:pt idx="19">
                  <c:v>2.5278771402296601E-2</c:v>
                </c:pt>
                <c:pt idx="20">
                  <c:v>2.9720957979860602E-2</c:v>
                </c:pt>
                <c:pt idx="21">
                  <c:v>2.50300855954745E-2</c:v>
                </c:pt>
                <c:pt idx="22">
                  <c:v>2.5558191117036999E-2</c:v>
                </c:pt>
                <c:pt idx="23">
                  <c:v>-6.27205201223418E-3</c:v>
                </c:pt>
                <c:pt idx="24">
                  <c:v>-4.3277376085660797E-2</c:v>
                </c:pt>
                <c:pt idx="25">
                  <c:v>1.9151618327202E-2</c:v>
                </c:pt>
                <c:pt idx="26">
                  <c:v>1.5090617823648501E-2</c:v>
                </c:pt>
                <c:pt idx="27">
                  <c:v>1.3130185984248499E-2</c:v>
                </c:pt>
                <c:pt idx="28">
                  <c:v>1.9110784106548401E-2</c:v>
                </c:pt>
                <c:pt idx="29">
                  <c:v>3.07048379406776E-2</c:v>
                </c:pt>
                <c:pt idx="30">
                  <c:v>2.22150212833063E-2</c:v>
                </c:pt>
              </c:numCache>
            </c:numRef>
          </c:val>
          <c:smooth val="1"/>
          <c:extLst>
            <c:ext xmlns:c16="http://schemas.microsoft.com/office/drawing/2014/chart" uri="{C3380CC4-5D6E-409C-BE32-E72D297353CC}">
              <c16:uniqueId val="{00000001-169D-47D7-833F-A193EE5CDBDB}"/>
            </c:ext>
          </c:extLst>
        </c:ser>
        <c:ser>
          <c:idx val="2"/>
          <c:order val="2"/>
          <c:tx>
            <c:strRef>
              <c:f>Data!$R$3</c:f>
              <c:strCache>
                <c:ptCount val="1"/>
                <c:pt idx="0">
                  <c:v>GNI p.c. % Chg (UK)</c:v>
                </c:pt>
              </c:strCache>
            </c:strRef>
          </c:tx>
          <c:spPr>
            <a:ln w="21960">
              <a:solidFill>
                <a:srgbClr val="C55A11"/>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Data!$R$4:$R$34</c:f>
              <c:numCache>
                <c:formatCode>0.00%</c:formatCode>
                <c:ptCount val="31"/>
                <c:pt idx="0">
                  <c:v>3.8903555485315197E-2</c:v>
                </c:pt>
                <c:pt idx="1">
                  <c:v>2.9741951594830899E-2</c:v>
                </c:pt>
                <c:pt idx="2">
                  <c:v>5.1115137056597898E-2</c:v>
                </c:pt>
                <c:pt idx="3">
                  <c:v>5.5670676120472502E-2</c:v>
                </c:pt>
                <c:pt idx="4">
                  <c:v>2.2882668864362601E-2</c:v>
                </c:pt>
                <c:pt idx="5">
                  <c:v>3.7816040874294301E-3</c:v>
                </c:pt>
                <c:pt idx="6">
                  <c:v>-1.411523825055E-2</c:v>
                </c:pt>
                <c:pt idx="7">
                  <c:v>1.41746334940791E-3</c:v>
                </c:pt>
                <c:pt idx="8">
                  <c:v>2.2429123912483799E-2</c:v>
                </c:pt>
                <c:pt idx="9">
                  <c:v>3.68834460607343E-2</c:v>
                </c:pt>
                <c:pt idx="10">
                  <c:v>2.1954234585142E-2</c:v>
                </c:pt>
                <c:pt idx="11">
                  <c:v>2.2985529856929501E-2</c:v>
                </c:pt>
                <c:pt idx="12">
                  <c:v>2.8873159560860801E-2</c:v>
                </c:pt>
                <c:pt idx="13">
                  <c:v>2.9894468180500299E-2</c:v>
                </c:pt>
                <c:pt idx="14">
                  <c:v>2.81496486604512E-2</c:v>
                </c:pt>
                <c:pt idx="15">
                  <c:v>4.1313506358114697E-2</c:v>
                </c:pt>
                <c:pt idx="16">
                  <c:v>2.6715111603729198E-2</c:v>
                </c:pt>
                <c:pt idx="17">
                  <c:v>2.5827167410301E-2</c:v>
                </c:pt>
                <c:pt idx="18">
                  <c:v>3.04312034978842E-2</c:v>
                </c:pt>
                <c:pt idx="19">
                  <c:v>2.0887684750582999E-2</c:v>
                </c:pt>
                <c:pt idx="20">
                  <c:v>2.83687502267598E-2</c:v>
                </c:pt>
                <c:pt idx="21">
                  <c:v>5.1339002420142804E-3</c:v>
                </c:pt>
                <c:pt idx="22">
                  <c:v>1.7010468568053098E-2</c:v>
                </c:pt>
                <c:pt idx="23">
                  <c:v>-2.1307125741907199E-2</c:v>
                </c:pt>
                <c:pt idx="24">
                  <c:v>-5.0329344396575403E-2</c:v>
                </c:pt>
                <c:pt idx="25">
                  <c:v>2.0589883157241098E-2</c:v>
                </c:pt>
                <c:pt idx="26">
                  <c:v>6.3716300641951298E-3</c:v>
                </c:pt>
                <c:pt idx="27">
                  <c:v>-7.1358602049670598E-3</c:v>
                </c:pt>
                <c:pt idx="28">
                  <c:v>7.5793850417842602E-3</c:v>
                </c:pt>
                <c:pt idx="29">
                  <c:v>1.5563171592179501E-2</c:v>
                </c:pt>
                <c:pt idx="30">
                  <c:v>6.9246846487978101E-3</c:v>
                </c:pt>
              </c:numCache>
            </c:numRef>
          </c:val>
          <c:smooth val="1"/>
          <c:extLst>
            <c:ext xmlns:c16="http://schemas.microsoft.com/office/drawing/2014/chart" uri="{C3380CC4-5D6E-409C-BE32-E72D297353CC}">
              <c16:uniqueId val="{00000002-169D-47D7-833F-A193EE5CDBDB}"/>
            </c:ext>
          </c:extLst>
        </c:ser>
        <c:ser>
          <c:idx val="3"/>
          <c:order val="3"/>
          <c:tx>
            <c:strRef>
              <c:f>Data!$U$3</c:f>
              <c:strCache>
                <c:ptCount val="1"/>
                <c:pt idx="0">
                  <c:v>Avg ECS (UK)</c:v>
                </c:pt>
              </c:strCache>
            </c:strRef>
          </c:tx>
          <c:spPr>
            <a:ln w="21960">
              <a:solidFill>
                <a:srgbClr val="403152"/>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Data!$U$4:$U$34</c:f>
              <c:numCache>
                <c:formatCode>0.00%</c:formatCode>
                <c:ptCount val="31"/>
                <c:pt idx="0">
                  <c:v>4.0966290192307693E-2</c:v>
                </c:pt>
                <c:pt idx="1">
                  <c:v>4.0966290192307693E-2</c:v>
                </c:pt>
                <c:pt idx="2">
                  <c:v>4.0966290192307693E-2</c:v>
                </c:pt>
                <c:pt idx="3">
                  <c:v>4.0966290192307693E-2</c:v>
                </c:pt>
                <c:pt idx="4">
                  <c:v>4.0966290192307693E-2</c:v>
                </c:pt>
                <c:pt idx="5">
                  <c:v>4.0966290192307693E-2</c:v>
                </c:pt>
                <c:pt idx="6">
                  <c:v>4.0966290192307693E-2</c:v>
                </c:pt>
                <c:pt idx="7">
                  <c:v>4.0966290192307693E-2</c:v>
                </c:pt>
                <c:pt idx="8">
                  <c:v>4.0966290192307693E-2</c:v>
                </c:pt>
                <c:pt idx="9">
                  <c:v>4.0966290192307693E-2</c:v>
                </c:pt>
                <c:pt idx="10">
                  <c:v>4.0966290192307693E-2</c:v>
                </c:pt>
                <c:pt idx="11">
                  <c:v>4.0966290192307693E-2</c:v>
                </c:pt>
                <c:pt idx="12">
                  <c:v>4.0966290192307693E-2</c:v>
                </c:pt>
                <c:pt idx="13">
                  <c:v>4.0966290192307693E-2</c:v>
                </c:pt>
                <c:pt idx="14">
                  <c:v>4.0966290192307693E-2</c:v>
                </c:pt>
                <c:pt idx="15">
                  <c:v>4.0966290192307693E-2</c:v>
                </c:pt>
                <c:pt idx="16">
                  <c:v>4.0966290192307693E-2</c:v>
                </c:pt>
                <c:pt idx="17">
                  <c:v>4.0966290192307693E-2</c:v>
                </c:pt>
                <c:pt idx="18">
                  <c:v>4.0966290192307693E-2</c:v>
                </c:pt>
                <c:pt idx="19">
                  <c:v>4.0966290192307693E-2</c:v>
                </c:pt>
                <c:pt idx="20">
                  <c:v>4.0966290192307693E-2</c:v>
                </c:pt>
                <c:pt idx="21">
                  <c:v>4.0966290192307693E-2</c:v>
                </c:pt>
                <c:pt idx="22">
                  <c:v>4.0966290192307693E-2</c:v>
                </c:pt>
                <c:pt idx="23">
                  <c:v>4.0966290192307693E-2</c:v>
                </c:pt>
                <c:pt idx="24">
                  <c:v>4.0966290192307693E-2</c:v>
                </c:pt>
                <c:pt idx="25">
                  <c:v>4.0966290192307693E-2</c:v>
                </c:pt>
                <c:pt idx="26">
                  <c:v>4.0966290192307693E-2</c:v>
                </c:pt>
                <c:pt idx="27">
                  <c:v>4.0966290192307693E-2</c:v>
                </c:pt>
                <c:pt idx="28">
                  <c:v>4.0966290192307693E-2</c:v>
                </c:pt>
                <c:pt idx="29">
                  <c:v>4.0966290192307693E-2</c:v>
                </c:pt>
                <c:pt idx="30">
                  <c:v>4.0966290192307693E-2</c:v>
                </c:pt>
              </c:numCache>
            </c:numRef>
          </c:val>
          <c:smooth val="1"/>
          <c:extLst>
            <c:ext xmlns:c16="http://schemas.microsoft.com/office/drawing/2014/chart" uri="{C3380CC4-5D6E-409C-BE32-E72D297353CC}">
              <c16:uniqueId val="{00000003-169D-47D7-833F-A193EE5CDBDB}"/>
            </c:ext>
          </c:extLst>
        </c:ser>
        <c:dLbls>
          <c:showLegendKey val="0"/>
          <c:showVal val="0"/>
          <c:showCatName val="0"/>
          <c:showSerName val="0"/>
          <c:showPercent val="0"/>
          <c:showBubbleSize val="0"/>
        </c:dLbls>
        <c:hiLowLines>
          <c:spPr>
            <a:ln w="0">
              <a:noFill/>
            </a:ln>
          </c:spPr>
        </c:hiLowLines>
        <c:smooth val="0"/>
        <c:axId val="30670817"/>
        <c:axId val="91029742"/>
      </c:lineChart>
      <c:catAx>
        <c:axId val="30670817"/>
        <c:scaling>
          <c:orientation val="minMax"/>
        </c:scaling>
        <c:delete val="0"/>
        <c:axPos val="b"/>
        <c:title>
          <c:tx>
            <c:rich>
              <a:bodyPr rot="0"/>
              <a:lstStyle/>
              <a:p>
                <a:pPr>
                  <a:defRPr sz="1000" b="1" strike="noStrike" spc="-1">
                    <a:solidFill>
                      <a:srgbClr val="000000"/>
                    </a:solidFill>
                    <a:latin typeface="Calibri"/>
                  </a:defRPr>
                </a:pPr>
                <a:r>
                  <a:rPr lang="en-NZ" sz="1000" b="1" strike="noStrike" spc="-1">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91029742"/>
        <c:crosses val="autoZero"/>
        <c:auto val="1"/>
        <c:lblAlgn val="ctr"/>
        <c:lblOffset val="100"/>
        <c:noMultiLvlLbl val="0"/>
      </c:catAx>
      <c:valAx>
        <c:axId val="9102974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NZ" sz="1000" b="1" strike="noStrike" spc="-1">
                    <a:solidFill>
                      <a:srgbClr val="000000"/>
                    </a:solidFill>
                    <a:latin typeface="Calibri"/>
                  </a:rPr>
                  <a:t>Rate / Share</a:t>
                </a:r>
              </a:p>
            </c:rich>
          </c:tx>
          <c:overlay val="0"/>
          <c:spPr>
            <a:noFill/>
            <a:ln w="0">
              <a:noFill/>
            </a:ln>
          </c:spPr>
        </c:title>
        <c:numFmt formatCode="0%" sourceLinked="0"/>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0670817"/>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38100">
      <a:solidFill>
        <a:schemeClr val="tx2">
          <a:lumMod val="50000"/>
        </a:schemeClr>
      </a:solidFill>
      <a:round/>
    </a:ln>
  </c:sp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NZ" sz="1800" b="1" strike="noStrike" spc="-1">
                <a:solidFill>
                  <a:srgbClr val="000000"/>
                </a:solidFill>
                <a:latin typeface="Calibri"/>
              </a:rPr>
              <a:t>New Zealand: ECS vs Health &amp; Education Index</a:t>
            </a:r>
          </a:p>
        </c:rich>
      </c:tx>
      <c:overlay val="0"/>
      <c:spPr>
        <a:noFill/>
        <a:ln w="0">
          <a:noFill/>
        </a:ln>
      </c:spPr>
    </c:title>
    <c:autoTitleDeleted val="0"/>
    <c:plotArea>
      <c:layout/>
      <c:lineChart>
        <c:grouping val="standard"/>
        <c:varyColors val="0"/>
        <c:ser>
          <c:idx val="0"/>
          <c:order val="0"/>
          <c:tx>
            <c:strRef>
              <c:f>Data!$B$3</c:f>
              <c:strCache>
                <c:ptCount val="1"/>
                <c:pt idx="0">
                  <c:v>ECS (NZ)</c:v>
                </c:pt>
              </c:strCache>
            </c:strRef>
          </c:tx>
          <c:spPr>
            <a:ln w="21960">
              <a:solidFill>
                <a:srgbClr val="C0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Data!$B$4:$B$34</c:f>
              <c:numCache>
                <c:formatCode>0.00%</c:formatCode>
                <c:ptCount val="31"/>
                <c:pt idx="0">
                  <c:v>3.4483081999999998E-2</c:v>
                </c:pt>
                <c:pt idx="1">
                  <c:v>2.8720197999999999E-2</c:v>
                </c:pt>
                <c:pt idx="2">
                  <c:v>3.4538795999999997E-2</c:v>
                </c:pt>
                <c:pt idx="3">
                  <c:v>3.645719E-2</c:v>
                </c:pt>
                <c:pt idx="4">
                  <c:v>3.5570015000000003E-2</c:v>
                </c:pt>
                <c:pt idx="5">
                  <c:v>4.2906918000000002E-2</c:v>
                </c:pt>
                <c:pt idx="6">
                  <c:v>4.1330082999999997E-2</c:v>
                </c:pt>
                <c:pt idx="7">
                  <c:v>3.8838103999999998E-2</c:v>
                </c:pt>
                <c:pt idx="8">
                  <c:v>3.6008219000000001E-2</c:v>
                </c:pt>
                <c:pt idx="9">
                  <c:v>3.8469769000000001E-2</c:v>
                </c:pt>
                <c:pt idx="10">
                  <c:v>4.2683688999999997E-2</c:v>
                </c:pt>
                <c:pt idx="11">
                  <c:v>4.4574098999999999E-2</c:v>
                </c:pt>
                <c:pt idx="12">
                  <c:v>4.2837582999999999E-2</c:v>
                </c:pt>
                <c:pt idx="13">
                  <c:v>3.2050173000000001E-2</c:v>
                </c:pt>
                <c:pt idx="14">
                  <c:v>3.2284287000000002E-2</c:v>
                </c:pt>
                <c:pt idx="15">
                  <c:v>3.4166456999999997E-2</c:v>
                </c:pt>
                <c:pt idx="16">
                  <c:v>3.0056099999999999E-2</c:v>
                </c:pt>
                <c:pt idx="17">
                  <c:v>3.1768585000000002E-2</c:v>
                </c:pt>
                <c:pt idx="18">
                  <c:v>3.7837254000000001E-2</c:v>
                </c:pt>
                <c:pt idx="19">
                  <c:v>4.7905547E-2</c:v>
                </c:pt>
                <c:pt idx="20">
                  <c:v>5.2777580999999997E-2</c:v>
                </c:pt>
                <c:pt idx="21">
                  <c:v>5.5883953E-2</c:v>
                </c:pt>
                <c:pt idx="22">
                  <c:v>6.0759905000000003E-2</c:v>
                </c:pt>
                <c:pt idx="23">
                  <c:v>7.1008657000000003E-2</c:v>
                </c:pt>
                <c:pt idx="24">
                  <c:v>5.4111996000000002E-2</c:v>
                </c:pt>
                <c:pt idx="25">
                  <c:v>6.2885645000000004E-2</c:v>
                </c:pt>
              </c:numCache>
            </c:numRef>
          </c:val>
          <c:smooth val="1"/>
          <c:extLst>
            <c:ext xmlns:c16="http://schemas.microsoft.com/office/drawing/2014/chart" uri="{C3380CC4-5D6E-409C-BE32-E72D297353CC}">
              <c16:uniqueId val="{00000000-A02B-4B7B-80B2-D88A88D843CA}"/>
            </c:ext>
          </c:extLst>
        </c:ser>
        <c:ser>
          <c:idx val="1"/>
          <c:order val="1"/>
          <c:tx>
            <c:strRef>
              <c:f>Data!$E$3</c:f>
              <c:strCache>
                <c:ptCount val="1"/>
                <c:pt idx="0">
                  <c:v>Health Index (NZ)</c:v>
                </c:pt>
              </c:strCache>
            </c:strRef>
          </c:tx>
          <c:spPr>
            <a:ln w="21960">
              <a:solidFill>
                <a:srgbClr val="00B0F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Data!$E$4:$E$34</c:f>
              <c:numCache>
                <c:formatCode>0.0000</c:formatCode>
                <c:ptCount val="31"/>
                <c:pt idx="0">
                  <c:v>-0.30704087935798818</c:v>
                </c:pt>
                <c:pt idx="1">
                  <c:v>-0.30704087935798818</c:v>
                </c:pt>
                <c:pt idx="2">
                  <c:v>-0.30704087935798818</c:v>
                </c:pt>
                <c:pt idx="3">
                  <c:v>-0.30704087935798818</c:v>
                </c:pt>
                <c:pt idx="4">
                  <c:v>-0.30704087935798818</c:v>
                </c:pt>
                <c:pt idx="5">
                  <c:v>-0.30704087935798818</c:v>
                </c:pt>
                <c:pt idx="6">
                  <c:v>-0.30704087935798818</c:v>
                </c:pt>
                <c:pt idx="7">
                  <c:v>-0.30704087935798818</c:v>
                </c:pt>
                <c:pt idx="8">
                  <c:v>-0.30704087935798818</c:v>
                </c:pt>
                <c:pt idx="9">
                  <c:v>-0.30704087935798818</c:v>
                </c:pt>
                <c:pt idx="10">
                  <c:v>-0.30704087935798818</c:v>
                </c:pt>
                <c:pt idx="11">
                  <c:v>-0.30704087935798818</c:v>
                </c:pt>
                <c:pt idx="12">
                  <c:v>-0.30704087935798818</c:v>
                </c:pt>
                <c:pt idx="13">
                  <c:v>-0.30704087935798818</c:v>
                </c:pt>
                <c:pt idx="14">
                  <c:v>-0.30704087935798818</c:v>
                </c:pt>
                <c:pt idx="15">
                  <c:v>-0.30704087935798818</c:v>
                </c:pt>
                <c:pt idx="16">
                  <c:v>-0.30704087935798818</c:v>
                </c:pt>
                <c:pt idx="17">
                  <c:v>-0.30704087935798818</c:v>
                </c:pt>
                <c:pt idx="18">
                  <c:v>-0.30704087935798818</c:v>
                </c:pt>
                <c:pt idx="19">
                  <c:v>-0.30704087935798818</c:v>
                </c:pt>
                <c:pt idx="20">
                  <c:v>-0.30704087935798818</c:v>
                </c:pt>
                <c:pt idx="21">
                  <c:v>-0.30704087935798818</c:v>
                </c:pt>
                <c:pt idx="22">
                  <c:v>-0.30704087935798818</c:v>
                </c:pt>
                <c:pt idx="23">
                  <c:v>-0.30704087935798818</c:v>
                </c:pt>
                <c:pt idx="24">
                  <c:v>-0.30704087935798818</c:v>
                </c:pt>
                <c:pt idx="25">
                  <c:v>-0.30704087935798818</c:v>
                </c:pt>
                <c:pt idx="26">
                  <c:v>-0.30704087935798818</c:v>
                </c:pt>
                <c:pt idx="27">
                  <c:v>-0.30704087935798818</c:v>
                </c:pt>
                <c:pt idx="28">
                  <c:v>-0.30704087935798818</c:v>
                </c:pt>
                <c:pt idx="29">
                  <c:v>-0.30704087935798818</c:v>
                </c:pt>
                <c:pt idx="30">
                  <c:v>-0.30704087935798818</c:v>
                </c:pt>
              </c:numCache>
            </c:numRef>
          </c:val>
          <c:smooth val="1"/>
          <c:extLst>
            <c:ext xmlns:c16="http://schemas.microsoft.com/office/drawing/2014/chart" uri="{C3380CC4-5D6E-409C-BE32-E72D297353CC}">
              <c16:uniqueId val="{00000001-A02B-4B7B-80B2-D88A88D843CA}"/>
            </c:ext>
          </c:extLst>
        </c:ser>
        <c:ser>
          <c:idx val="2"/>
          <c:order val="2"/>
          <c:tx>
            <c:strRef>
              <c:f>Data!$F$3</c:f>
              <c:strCache>
                <c:ptCount val="1"/>
                <c:pt idx="0">
                  <c:v>Edu Index (NZ)</c:v>
                </c:pt>
              </c:strCache>
            </c:strRef>
          </c:tx>
          <c:spPr>
            <a:ln w="21960">
              <a:solidFill>
                <a:srgbClr val="70AD47"/>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Data!$F$4:$F$34</c:f>
              <c:numCache>
                <c:formatCode>0.0000</c:formatCode>
                <c:ptCount val="31"/>
                <c:pt idx="0">
                  <c:v>0.77333333333333298</c:v>
                </c:pt>
                <c:pt idx="1">
                  <c:v>0.77722222222222204</c:v>
                </c:pt>
                <c:pt idx="2">
                  <c:v>0.78111111111111098</c:v>
                </c:pt>
                <c:pt idx="3">
                  <c:v>0.78500000000000003</c:v>
                </c:pt>
                <c:pt idx="4">
                  <c:v>0.78888888888888897</c:v>
                </c:pt>
                <c:pt idx="5">
                  <c:v>0.79277777777777803</c:v>
                </c:pt>
                <c:pt idx="6">
                  <c:v>0.80688888888888899</c:v>
                </c:pt>
                <c:pt idx="7">
                  <c:v>0.82099999999999995</c:v>
                </c:pt>
                <c:pt idx="8">
                  <c:v>0.83511111111111103</c:v>
                </c:pt>
                <c:pt idx="9">
                  <c:v>0.84922222222222199</c:v>
                </c:pt>
                <c:pt idx="10">
                  <c:v>0.86333333333333295</c:v>
                </c:pt>
                <c:pt idx="11">
                  <c:v>0.86733333333333296</c:v>
                </c:pt>
                <c:pt idx="12">
                  <c:v>0.87133333333333296</c:v>
                </c:pt>
                <c:pt idx="13">
                  <c:v>0.87533333333333296</c:v>
                </c:pt>
                <c:pt idx="14">
                  <c:v>0.87933333333333297</c:v>
                </c:pt>
                <c:pt idx="15">
                  <c:v>0.88333333333333297</c:v>
                </c:pt>
                <c:pt idx="16">
                  <c:v>0.89466666666666705</c:v>
                </c:pt>
                <c:pt idx="17">
                  <c:v>0.90600000000000003</c:v>
                </c:pt>
                <c:pt idx="18">
                  <c:v>0.917333333333333</c:v>
                </c:pt>
                <c:pt idx="19">
                  <c:v>0.92866666666666697</c:v>
                </c:pt>
                <c:pt idx="20">
                  <c:v>0.94</c:v>
                </c:pt>
                <c:pt idx="21">
                  <c:v>0.94333333333333302</c:v>
                </c:pt>
                <c:pt idx="22">
                  <c:v>0.95166666666666699</c:v>
                </c:pt>
                <c:pt idx="23">
                  <c:v>0.94944444444444398</c:v>
                </c:pt>
                <c:pt idx="24">
                  <c:v>0.974444444444444</c:v>
                </c:pt>
                <c:pt idx="25">
                  <c:v>0.96388888888888902</c:v>
                </c:pt>
                <c:pt idx="26">
                  <c:v>0.95555555555555605</c:v>
                </c:pt>
                <c:pt idx="27">
                  <c:v>0.95</c:v>
                </c:pt>
                <c:pt idx="28">
                  <c:v>0.95</c:v>
                </c:pt>
                <c:pt idx="29">
                  <c:v>0.95</c:v>
                </c:pt>
                <c:pt idx="30">
                  <c:v>0.95</c:v>
                </c:pt>
              </c:numCache>
            </c:numRef>
          </c:val>
          <c:smooth val="1"/>
          <c:extLst>
            <c:ext xmlns:c16="http://schemas.microsoft.com/office/drawing/2014/chart" uri="{C3380CC4-5D6E-409C-BE32-E72D297353CC}">
              <c16:uniqueId val="{00000002-A02B-4B7B-80B2-D88A88D843CA}"/>
            </c:ext>
          </c:extLst>
        </c:ser>
        <c:dLbls>
          <c:showLegendKey val="0"/>
          <c:showVal val="0"/>
          <c:showCatName val="0"/>
          <c:showSerName val="0"/>
          <c:showPercent val="0"/>
          <c:showBubbleSize val="0"/>
        </c:dLbls>
        <c:hiLowLines>
          <c:spPr>
            <a:ln w="0">
              <a:noFill/>
            </a:ln>
          </c:spPr>
        </c:hiLowLines>
        <c:smooth val="0"/>
        <c:axId val="38560700"/>
        <c:axId val="74978946"/>
      </c:lineChart>
      <c:catAx>
        <c:axId val="38560700"/>
        <c:scaling>
          <c:orientation val="minMax"/>
        </c:scaling>
        <c:delete val="0"/>
        <c:axPos val="b"/>
        <c:title>
          <c:tx>
            <c:rich>
              <a:bodyPr rot="0"/>
              <a:lstStyle/>
              <a:p>
                <a:pPr>
                  <a:defRPr sz="1000" b="1" strike="noStrike" spc="-1">
                    <a:solidFill>
                      <a:srgbClr val="000000"/>
                    </a:solidFill>
                    <a:latin typeface="Calibri"/>
                  </a:defRPr>
                </a:pPr>
                <a:r>
                  <a:rPr lang="en-NZ" sz="1000" b="1" strike="noStrike" spc="-1">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978946"/>
        <c:crosses val="autoZero"/>
        <c:auto val="1"/>
        <c:lblAlgn val="ctr"/>
        <c:lblOffset val="100"/>
        <c:noMultiLvlLbl val="0"/>
      </c:catAx>
      <c:valAx>
        <c:axId val="74978946"/>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NZ" sz="1000" b="1" strike="noStrike" spc="-1">
                    <a:solidFill>
                      <a:srgbClr val="000000"/>
                    </a:solidFill>
                    <a:latin typeface="Calibri"/>
                  </a:rPr>
                  <a:t>Index / ECS Value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856070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38100">
      <a:solidFill>
        <a:schemeClr val="tx2">
          <a:lumMod val="50000"/>
        </a:schemeClr>
      </a:solidFill>
      <a:round/>
    </a:ln>
  </c:sp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NZ" sz="1800" b="1" strike="noStrike" spc="-1">
                <a:solidFill>
                  <a:srgbClr val="000000"/>
                </a:solidFill>
                <a:latin typeface="Calibri"/>
              </a:rPr>
              <a:t>Australia: ECS vs Health &amp; Education Index</a:t>
            </a:r>
          </a:p>
        </c:rich>
      </c:tx>
      <c:overlay val="0"/>
      <c:spPr>
        <a:noFill/>
        <a:ln w="0">
          <a:noFill/>
        </a:ln>
      </c:spPr>
    </c:title>
    <c:autoTitleDeleted val="0"/>
    <c:plotArea>
      <c:layout/>
      <c:lineChart>
        <c:grouping val="standard"/>
        <c:varyColors val="0"/>
        <c:ser>
          <c:idx val="0"/>
          <c:order val="0"/>
          <c:tx>
            <c:strRef>
              <c:f>Data!$I$3</c:f>
              <c:strCache>
                <c:ptCount val="1"/>
                <c:pt idx="0">
                  <c:v>ECS(AU)</c:v>
                </c:pt>
              </c:strCache>
            </c:strRef>
          </c:tx>
          <c:spPr>
            <a:ln w="21960">
              <a:solidFill>
                <a:srgbClr val="843C0C"/>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Data!$I$4:$I$34</c:f>
              <c:numCache>
                <c:formatCode>0.00%</c:formatCode>
                <c:ptCount val="31"/>
                <c:pt idx="0">
                  <c:v>4.0567764999999999E-2</c:v>
                </c:pt>
                <c:pt idx="1">
                  <c:v>2.7576557000000002E-2</c:v>
                </c:pt>
                <c:pt idx="2">
                  <c:v>2.9972722E-2</c:v>
                </c:pt>
                <c:pt idx="3">
                  <c:v>2.8792076999999999E-2</c:v>
                </c:pt>
                <c:pt idx="4">
                  <c:v>3.0243045E-2</c:v>
                </c:pt>
                <c:pt idx="5">
                  <c:v>3.5428169000000002E-2</c:v>
                </c:pt>
                <c:pt idx="6">
                  <c:v>3.2890838999999998E-2</c:v>
                </c:pt>
                <c:pt idx="7">
                  <c:v>2.8840162999999999E-2</c:v>
                </c:pt>
                <c:pt idx="8">
                  <c:v>2.5682264E-2</c:v>
                </c:pt>
                <c:pt idx="9">
                  <c:v>2.4404142E-2</c:v>
                </c:pt>
                <c:pt idx="10">
                  <c:v>2.4847681E-2</c:v>
                </c:pt>
                <c:pt idx="11">
                  <c:v>2.6141646000000001E-2</c:v>
                </c:pt>
                <c:pt idx="12">
                  <c:v>2.4673924E-2</c:v>
                </c:pt>
                <c:pt idx="13">
                  <c:v>1.7740103E-2</c:v>
                </c:pt>
                <c:pt idx="14">
                  <c:v>1.9410835000000001E-2</c:v>
                </c:pt>
                <c:pt idx="15">
                  <c:v>2.5869191999999999E-2</c:v>
                </c:pt>
                <c:pt idx="16">
                  <c:v>2.2514353000000001E-2</c:v>
                </c:pt>
                <c:pt idx="17">
                  <c:v>2.3149573999999999E-2</c:v>
                </c:pt>
                <c:pt idx="18">
                  <c:v>2.5954552999999998E-2</c:v>
                </c:pt>
                <c:pt idx="19">
                  <c:v>2.8458443E-2</c:v>
                </c:pt>
                <c:pt idx="20">
                  <c:v>3.4013048999999997E-2</c:v>
                </c:pt>
                <c:pt idx="21">
                  <c:v>3.4770186000000002E-2</c:v>
                </c:pt>
                <c:pt idx="22">
                  <c:v>3.8241519000000002E-2</c:v>
                </c:pt>
                <c:pt idx="23">
                  <c:v>4.6804853E-2</c:v>
                </c:pt>
                <c:pt idx="24">
                  <c:v>2.9041906999999999E-2</c:v>
                </c:pt>
                <c:pt idx="25">
                  <c:v>3.3486684000000003E-2</c:v>
                </c:pt>
              </c:numCache>
            </c:numRef>
          </c:val>
          <c:smooth val="1"/>
          <c:extLst>
            <c:ext xmlns:c16="http://schemas.microsoft.com/office/drawing/2014/chart" uri="{C3380CC4-5D6E-409C-BE32-E72D297353CC}">
              <c16:uniqueId val="{00000000-4A87-4660-BAC7-A20CA5B2D135}"/>
            </c:ext>
          </c:extLst>
        </c:ser>
        <c:ser>
          <c:idx val="1"/>
          <c:order val="1"/>
          <c:tx>
            <c:strRef>
              <c:f>Data!$L$3</c:f>
              <c:strCache>
                <c:ptCount val="1"/>
                <c:pt idx="0">
                  <c:v>Health Index (AU)</c:v>
                </c:pt>
              </c:strCache>
            </c:strRef>
          </c:tx>
          <c:spPr>
            <a:ln w="21960">
              <a:solidFill>
                <a:srgbClr val="0070C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Data!$L$4:$L$34</c:f>
              <c:numCache>
                <c:formatCode>0.0000</c:formatCode>
                <c:ptCount val="31"/>
                <c:pt idx="0">
                  <c:v>-0.30724288979585795</c:v>
                </c:pt>
                <c:pt idx="1">
                  <c:v>-0.30724288979585795</c:v>
                </c:pt>
                <c:pt idx="2">
                  <c:v>-0.30724288979585795</c:v>
                </c:pt>
                <c:pt idx="3">
                  <c:v>-0.30724288979585795</c:v>
                </c:pt>
                <c:pt idx="4">
                  <c:v>-0.30724288979585795</c:v>
                </c:pt>
                <c:pt idx="5">
                  <c:v>-0.30724288979585795</c:v>
                </c:pt>
                <c:pt idx="6">
                  <c:v>-0.30724288979585795</c:v>
                </c:pt>
                <c:pt idx="7">
                  <c:v>-0.30724288979585795</c:v>
                </c:pt>
                <c:pt idx="8">
                  <c:v>-0.30724288979585795</c:v>
                </c:pt>
                <c:pt idx="9">
                  <c:v>-0.30724288979585795</c:v>
                </c:pt>
                <c:pt idx="10">
                  <c:v>-0.30724288979585795</c:v>
                </c:pt>
                <c:pt idx="11">
                  <c:v>-0.30724288979585795</c:v>
                </c:pt>
                <c:pt idx="12">
                  <c:v>-0.30724288979585795</c:v>
                </c:pt>
                <c:pt idx="13">
                  <c:v>-0.30724288979585795</c:v>
                </c:pt>
                <c:pt idx="14">
                  <c:v>-0.30724288979585795</c:v>
                </c:pt>
                <c:pt idx="15">
                  <c:v>-0.30724288979585795</c:v>
                </c:pt>
                <c:pt idx="16">
                  <c:v>-0.30724288979585795</c:v>
                </c:pt>
                <c:pt idx="17">
                  <c:v>-0.30724288979585795</c:v>
                </c:pt>
                <c:pt idx="18">
                  <c:v>-0.30724288979585795</c:v>
                </c:pt>
                <c:pt idx="19">
                  <c:v>-0.30724288979585795</c:v>
                </c:pt>
                <c:pt idx="20">
                  <c:v>-0.30724288979585795</c:v>
                </c:pt>
                <c:pt idx="21">
                  <c:v>-0.30724288979585795</c:v>
                </c:pt>
                <c:pt idx="22">
                  <c:v>-0.30724288979585795</c:v>
                </c:pt>
                <c:pt idx="23">
                  <c:v>-0.30724288979585795</c:v>
                </c:pt>
                <c:pt idx="24">
                  <c:v>-0.30724288979585795</c:v>
                </c:pt>
                <c:pt idx="25">
                  <c:v>-0.30724288979585795</c:v>
                </c:pt>
                <c:pt idx="26">
                  <c:v>-0.30724288979585795</c:v>
                </c:pt>
                <c:pt idx="27">
                  <c:v>-0.30724288979585795</c:v>
                </c:pt>
                <c:pt idx="28">
                  <c:v>-0.30724288979585795</c:v>
                </c:pt>
                <c:pt idx="29">
                  <c:v>-0.30724288979585795</c:v>
                </c:pt>
              </c:numCache>
            </c:numRef>
          </c:val>
          <c:smooth val="1"/>
          <c:extLst>
            <c:ext xmlns:c16="http://schemas.microsoft.com/office/drawing/2014/chart" uri="{C3380CC4-5D6E-409C-BE32-E72D297353CC}">
              <c16:uniqueId val="{00000001-4A87-4660-BAC7-A20CA5B2D135}"/>
            </c:ext>
          </c:extLst>
        </c:ser>
        <c:ser>
          <c:idx val="2"/>
          <c:order val="2"/>
          <c:tx>
            <c:strRef>
              <c:f>Data!$M$3</c:f>
              <c:strCache>
                <c:ptCount val="1"/>
                <c:pt idx="0">
                  <c:v>Edu Index (AU)</c:v>
                </c:pt>
              </c:strCache>
            </c:strRef>
          </c:tx>
          <c:spPr>
            <a:ln w="21960">
              <a:solidFill>
                <a:srgbClr val="00B05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Data!$M$4:$M$34</c:f>
              <c:numCache>
                <c:formatCode>0.0000</c:formatCode>
                <c:ptCount val="31"/>
                <c:pt idx="0">
                  <c:v>0.87</c:v>
                </c:pt>
                <c:pt idx="1">
                  <c:v>0.87066666666666703</c:v>
                </c:pt>
                <c:pt idx="2">
                  <c:v>0.87133333333333296</c:v>
                </c:pt>
                <c:pt idx="3">
                  <c:v>0.872</c:v>
                </c:pt>
                <c:pt idx="4">
                  <c:v>0.87266666666666703</c:v>
                </c:pt>
                <c:pt idx="5">
                  <c:v>0.87333333333333296</c:v>
                </c:pt>
                <c:pt idx="6">
                  <c:v>0.89011111111111096</c:v>
                </c:pt>
                <c:pt idx="7">
                  <c:v>0.90688888888888897</c:v>
                </c:pt>
                <c:pt idx="8">
                  <c:v>0.92366666666666697</c:v>
                </c:pt>
                <c:pt idx="9">
                  <c:v>0.94044444444444397</c:v>
                </c:pt>
                <c:pt idx="10">
                  <c:v>0.95722222222222197</c:v>
                </c:pt>
                <c:pt idx="11">
                  <c:v>0.95788888888888901</c:v>
                </c:pt>
                <c:pt idx="12">
                  <c:v>0.95855555555555605</c:v>
                </c:pt>
                <c:pt idx="13">
                  <c:v>0.95922222222222198</c:v>
                </c:pt>
                <c:pt idx="14">
                  <c:v>0.95988888888888901</c:v>
                </c:pt>
                <c:pt idx="15">
                  <c:v>0.96055555555555605</c:v>
                </c:pt>
                <c:pt idx="16">
                  <c:v>0.96022222222222198</c:v>
                </c:pt>
                <c:pt idx="17">
                  <c:v>0.95988888888888901</c:v>
                </c:pt>
                <c:pt idx="18">
                  <c:v>0.95955555555555605</c:v>
                </c:pt>
                <c:pt idx="19">
                  <c:v>0.95922222222222198</c:v>
                </c:pt>
                <c:pt idx="20">
                  <c:v>0.95888888888888901</c:v>
                </c:pt>
                <c:pt idx="21">
                  <c:v>0.926111111111111</c:v>
                </c:pt>
                <c:pt idx="22">
                  <c:v>0.926111111111111</c:v>
                </c:pt>
                <c:pt idx="23">
                  <c:v>0.93555555555555603</c:v>
                </c:pt>
                <c:pt idx="24">
                  <c:v>0.94722222222222197</c:v>
                </c:pt>
                <c:pt idx="25">
                  <c:v>0.96833333333333305</c:v>
                </c:pt>
                <c:pt idx="26">
                  <c:v>0.98611111111111105</c:v>
                </c:pt>
                <c:pt idx="27">
                  <c:v>0.99444444444444502</c:v>
                </c:pt>
                <c:pt idx="28">
                  <c:v>0.99444444444444502</c:v>
                </c:pt>
                <c:pt idx="29">
                  <c:v>0.99444444444444502</c:v>
                </c:pt>
                <c:pt idx="30">
                  <c:v>0.99444444444444502</c:v>
                </c:pt>
              </c:numCache>
            </c:numRef>
          </c:val>
          <c:smooth val="1"/>
          <c:extLst>
            <c:ext xmlns:c16="http://schemas.microsoft.com/office/drawing/2014/chart" uri="{C3380CC4-5D6E-409C-BE32-E72D297353CC}">
              <c16:uniqueId val="{00000002-4A87-4660-BAC7-A20CA5B2D135}"/>
            </c:ext>
          </c:extLst>
        </c:ser>
        <c:dLbls>
          <c:showLegendKey val="0"/>
          <c:showVal val="0"/>
          <c:showCatName val="0"/>
          <c:showSerName val="0"/>
          <c:showPercent val="0"/>
          <c:showBubbleSize val="0"/>
        </c:dLbls>
        <c:hiLowLines>
          <c:spPr>
            <a:ln w="0">
              <a:noFill/>
            </a:ln>
          </c:spPr>
        </c:hiLowLines>
        <c:smooth val="0"/>
        <c:axId val="27752293"/>
        <c:axId val="85012611"/>
      </c:lineChart>
      <c:catAx>
        <c:axId val="27752293"/>
        <c:scaling>
          <c:orientation val="minMax"/>
        </c:scaling>
        <c:delete val="0"/>
        <c:axPos val="b"/>
        <c:title>
          <c:tx>
            <c:rich>
              <a:bodyPr rot="0"/>
              <a:lstStyle/>
              <a:p>
                <a:pPr>
                  <a:defRPr sz="1000" b="1" strike="noStrike" spc="-1">
                    <a:solidFill>
                      <a:srgbClr val="000000"/>
                    </a:solidFill>
                    <a:latin typeface="Calibri"/>
                  </a:defRPr>
                </a:pPr>
                <a:r>
                  <a:rPr lang="en-NZ" sz="1000" b="1" strike="noStrike" spc="-1">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5012611"/>
        <c:crosses val="autoZero"/>
        <c:auto val="1"/>
        <c:lblAlgn val="ctr"/>
        <c:lblOffset val="100"/>
        <c:noMultiLvlLbl val="0"/>
      </c:catAx>
      <c:valAx>
        <c:axId val="8501261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NZ" sz="1000" b="1" strike="noStrike" spc="-1">
                    <a:solidFill>
                      <a:srgbClr val="000000"/>
                    </a:solidFill>
                    <a:latin typeface="Calibri"/>
                  </a:rPr>
                  <a:t>Index / ECS Value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27752293"/>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38100">
      <a:solidFill>
        <a:schemeClr val="tx2">
          <a:lumMod val="50000"/>
        </a:schemeClr>
      </a:solidFill>
      <a:round/>
    </a:ln>
  </c:sp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NZ" sz="1800" b="1" strike="noStrike" spc="-1">
                <a:solidFill>
                  <a:srgbClr val="000000"/>
                </a:solidFill>
                <a:latin typeface="Calibri"/>
              </a:rPr>
              <a:t>United Kingdom: ECS vs Health &amp; Education Index</a:t>
            </a:r>
          </a:p>
        </c:rich>
      </c:tx>
      <c:overlay val="0"/>
      <c:spPr>
        <a:noFill/>
        <a:ln w="0">
          <a:noFill/>
        </a:ln>
      </c:spPr>
    </c:title>
    <c:autoTitleDeleted val="0"/>
    <c:plotArea>
      <c:layout/>
      <c:lineChart>
        <c:grouping val="standard"/>
        <c:varyColors val="0"/>
        <c:ser>
          <c:idx val="0"/>
          <c:order val="0"/>
          <c:tx>
            <c:strRef>
              <c:f>Data!$P$3</c:f>
              <c:strCache>
                <c:ptCount val="1"/>
                <c:pt idx="0">
                  <c:v>ECS (UK)</c:v>
                </c:pt>
              </c:strCache>
            </c:strRef>
          </c:tx>
          <c:spPr>
            <a:ln w="21960">
              <a:solidFill>
                <a:srgbClr val="7B2C2C"/>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Data!$P$4:$P$34</c:f>
              <c:numCache>
                <c:formatCode>0.00%</c:formatCode>
                <c:ptCount val="31"/>
                <c:pt idx="0">
                  <c:v>6.4062674E-2</c:v>
                </c:pt>
                <c:pt idx="1">
                  <c:v>4.4936697999999997E-2</c:v>
                </c:pt>
                <c:pt idx="2">
                  <c:v>4.5595472999999997E-2</c:v>
                </c:pt>
                <c:pt idx="3">
                  <c:v>4.0530898000000003E-2</c:v>
                </c:pt>
                <c:pt idx="4">
                  <c:v>4.1978411E-2</c:v>
                </c:pt>
                <c:pt idx="5">
                  <c:v>4.3719076000000003E-2</c:v>
                </c:pt>
                <c:pt idx="6">
                  <c:v>3.9474292000000001E-2</c:v>
                </c:pt>
                <c:pt idx="7">
                  <c:v>3.7036527999999999E-2</c:v>
                </c:pt>
                <c:pt idx="8">
                  <c:v>3.4859117000000002E-2</c:v>
                </c:pt>
                <c:pt idx="9">
                  <c:v>3.2440838999999999E-2</c:v>
                </c:pt>
                <c:pt idx="10">
                  <c:v>3.2254313999999999E-2</c:v>
                </c:pt>
                <c:pt idx="11">
                  <c:v>3.5732130000000001E-2</c:v>
                </c:pt>
                <c:pt idx="12">
                  <c:v>3.2745642999999998E-2</c:v>
                </c:pt>
                <c:pt idx="13">
                  <c:v>2.5886889999999999E-2</c:v>
                </c:pt>
                <c:pt idx="14">
                  <c:v>2.7438168999999998E-2</c:v>
                </c:pt>
                <c:pt idx="15">
                  <c:v>3.6190567999999999E-2</c:v>
                </c:pt>
                <c:pt idx="16">
                  <c:v>3.3257372E-2</c:v>
                </c:pt>
                <c:pt idx="17">
                  <c:v>3.1082661000000001E-2</c:v>
                </c:pt>
                <c:pt idx="18">
                  <c:v>3.5762657000000003E-2</c:v>
                </c:pt>
                <c:pt idx="19">
                  <c:v>4.0331855999999999E-2</c:v>
                </c:pt>
                <c:pt idx="20">
                  <c:v>4.8675112999999999E-2</c:v>
                </c:pt>
                <c:pt idx="21">
                  <c:v>5.0447132999999998E-2</c:v>
                </c:pt>
                <c:pt idx="22">
                  <c:v>5.2130382000000003E-2</c:v>
                </c:pt>
                <c:pt idx="23">
                  <c:v>6.4955183E-2</c:v>
                </c:pt>
                <c:pt idx="24">
                  <c:v>4.3944189000000002E-2</c:v>
                </c:pt>
                <c:pt idx="25">
                  <c:v>4.9655278999999997E-2</c:v>
                </c:pt>
              </c:numCache>
            </c:numRef>
          </c:val>
          <c:smooth val="1"/>
          <c:extLst>
            <c:ext xmlns:c16="http://schemas.microsoft.com/office/drawing/2014/chart" uri="{C3380CC4-5D6E-409C-BE32-E72D297353CC}">
              <c16:uniqueId val="{00000000-9DD9-457E-A66C-9798CCA77647}"/>
            </c:ext>
          </c:extLst>
        </c:ser>
        <c:ser>
          <c:idx val="1"/>
          <c:order val="1"/>
          <c:tx>
            <c:strRef>
              <c:f>Data!$S$3</c:f>
              <c:strCache>
                <c:ptCount val="1"/>
                <c:pt idx="0">
                  <c:v>Health Index (UK)</c:v>
                </c:pt>
              </c:strCache>
            </c:strRef>
          </c:tx>
          <c:spPr>
            <a:ln w="21960">
              <a:solidFill>
                <a:srgbClr val="00B0F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Data!$S$4:$S$34</c:f>
              <c:numCache>
                <c:formatCode>0.0000</c:formatCode>
                <c:ptCount val="31"/>
                <c:pt idx="0">
                  <c:v>-0.3070620570739645</c:v>
                </c:pt>
                <c:pt idx="1">
                  <c:v>-0.3070620570739645</c:v>
                </c:pt>
                <c:pt idx="2">
                  <c:v>-0.3070620570739645</c:v>
                </c:pt>
                <c:pt idx="3">
                  <c:v>-0.3070620570739645</c:v>
                </c:pt>
                <c:pt idx="4">
                  <c:v>-0.3070620570739645</c:v>
                </c:pt>
                <c:pt idx="5">
                  <c:v>-0.3070620570739645</c:v>
                </c:pt>
                <c:pt idx="6">
                  <c:v>-0.3070620570739645</c:v>
                </c:pt>
                <c:pt idx="7">
                  <c:v>-0.3070620570739645</c:v>
                </c:pt>
                <c:pt idx="8">
                  <c:v>-0.3070620570739645</c:v>
                </c:pt>
                <c:pt idx="9">
                  <c:v>-0.3070620570739645</c:v>
                </c:pt>
                <c:pt idx="10">
                  <c:v>-0.3070620570739645</c:v>
                </c:pt>
                <c:pt idx="11">
                  <c:v>-0.3070620570739645</c:v>
                </c:pt>
                <c:pt idx="12">
                  <c:v>-0.3070620570739645</c:v>
                </c:pt>
                <c:pt idx="13">
                  <c:v>-0.3070620570739645</c:v>
                </c:pt>
                <c:pt idx="14">
                  <c:v>-0.3070620570739645</c:v>
                </c:pt>
                <c:pt idx="15">
                  <c:v>-0.3070620570739645</c:v>
                </c:pt>
                <c:pt idx="16">
                  <c:v>-0.3070620570739645</c:v>
                </c:pt>
                <c:pt idx="17">
                  <c:v>-0.3070620570739645</c:v>
                </c:pt>
                <c:pt idx="18">
                  <c:v>-0.3070620570739645</c:v>
                </c:pt>
                <c:pt idx="19">
                  <c:v>-0.3070620570739645</c:v>
                </c:pt>
                <c:pt idx="20">
                  <c:v>-0.3070620570739645</c:v>
                </c:pt>
                <c:pt idx="21">
                  <c:v>-0.3070620570739645</c:v>
                </c:pt>
                <c:pt idx="22">
                  <c:v>-0.3070620570739645</c:v>
                </c:pt>
                <c:pt idx="23">
                  <c:v>-0.3070620570739645</c:v>
                </c:pt>
                <c:pt idx="24">
                  <c:v>-0.3070620570739645</c:v>
                </c:pt>
                <c:pt idx="25">
                  <c:v>-0.3070620570739645</c:v>
                </c:pt>
                <c:pt idx="26">
                  <c:v>-0.3070620570739645</c:v>
                </c:pt>
                <c:pt idx="27">
                  <c:v>-0.3070620570739645</c:v>
                </c:pt>
                <c:pt idx="28">
                  <c:v>-0.3070620570739645</c:v>
                </c:pt>
                <c:pt idx="29">
                  <c:v>-0.3070620570739645</c:v>
                </c:pt>
              </c:numCache>
            </c:numRef>
          </c:val>
          <c:smooth val="1"/>
          <c:extLst>
            <c:ext xmlns:c16="http://schemas.microsoft.com/office/drawing/2014/chart" uri="{C3380CC4-5D6E-409C-BE32-E72D297353CC}">
              <c16:uniqueId val="{00000001-9DD9-457E-A66C-9798CCA77647}"/>
            </c:ext>
          </c:extLst>
        </c:ser>
        <c:ser>
          <c:idx val="2"/>
          <c:order val="2"/>
          <c:tx>
            <c:strRef>
              <c:f>Data!$T$3</c:f>
              <c:strCache>
                <c:ptCount val="1"/>
                <c:pt idx="0">
                  <c:v>Edu Index (UK)</c:v>
                </c:pt>
              </c:strCache>
            </c:strRef>
          </c:tx>
          <c:spPr>
            <a:ln w="21960">
              <a:solidFill>
                <a:srgbClr val="375623"/>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Data!$T$4:$T$34</c:f>
              <c:numCache>
                <c:formatCode>0.0000</c:formatCode>
                <c:ptCount val="31"/>
                <c:pt idx="0">
                  <c:v>0.62333333333333296</c:v>
                </c:pt>
                <c:pt idx="1">
                  <c:v>0.62688888888888905</c:v>
                </c:pt>
                <c:pt idx="2">
                  <c:v>0.63044444444444503</c:v>
                </c:pt>
                <c:pt idx="3">
                  <c:v>0.63400000000000001</c:v>
                </c:pt>
                <c:pt idx="4">
                  <c:v>0.63755555555555599</c:v>
                </c:pt>
                <c:pt idx="5">
                  <c:v>0.64111111111111097</c:v>
                </c:pt>
                <c:pt idx="6">
                  <c:v>0.67166666666666697</c:v>
                </c:pt>
                <c:pt idx="7">
                  <c:v>0.70222222222222197</c:v>
                </c:pt>
                <c:pt idx="8">
                  <c:v>0.73277777777777797</c:v>
                </c:pt>
                <c:pt idx="9">
                  <c:v>0.76333333333333298</c:v>
                </c:pt>
                <c:pt idx="10">
                  <c:v>0.79388888888888898</c:v>
                </c:pt>
                <c:pt idx="11">
                  <c:v>0.80255555555555602</c:v>
                </c:pt>
                <c:pt idx="12">
                  <c:v>0.81122222222222196</c:v>
                </c:pt>
                <c:pt idx="13">
                  <c:v>0.819888888888889</c:v>
                </c:pt>
                <c:pt idx="14">
                  <c:v>0.82855555555555604</c:v>
                </c:pt>
                <c:pt idx="15">
                  <c:v>0.83722222222222198</c:v>
                </c:pt>
                <c:pt idx="16">
                  <c:v>0.84333333333333305</c:v>
                </c:pt>
                <c:pt idx="17">
                  <c:v>0.849444444444444</c:v>
                </c:pt>
                <c:pt idx="18">
                  <c:v>0.85555555555555596</c:v>
                </c:pt>
                <c:pt idx="19">
                  <c:v>0.86166666666666702</c:v>
                </c:pt>
                <c:pt idx="20">
                  <c:v>0.86777777777777798</c:v>
                </c:pt>
                <c:pt idx="21">
                  <c:v>0.85388888888888903</c:v>
                </c:pt>
                <c:pt idx="22">
                  <c:v>0.85111111111111104</c:v>
                </c:pt>
                <c:pt idx="23">
                  <c:v>0.86</c:v>
                </c:pt>
                <c:pt idx="24">
                  <c:v>0.86555555555555597</c:v>
                </c:pt>
                <c:pt idx="25">
                  <c:v>0.90333333333333299</c:v>
                </c:pt>
                <c:pt idx="26">
                  <c:v>0.88666666666666705</c:v>
                </c:pt>
                <c:pt idx="27">
                  <c:v>0.88666666666666705</c:v>
                </c:pt>
                <c:pt idx="28">
                  <c:v>0.88666666666666705</c:v>
                </c:pt>
                <c:pt idx="29">
                  <c:v>0.88666666666666705</c:v>
                </c:pt>
                <c:pt idx="30">
                  <c:v>0.88666666666666705</c:v>
                </c:pt>
              </c:numCache>
            </c:numRef>
          </c:val>
          <c:smooth val="1"/>
          <c:extLst>
            <c:ext xmlns:c16="http://schemas.microsoft.com/office/drawing/2014/chart" uri="{C3380CC4-5D6E-409C-BE32-E72D297353CC}">
              <c16:uniqueId val="{00000002-9DD9-457E-A66C-9798CCA77647}"/>
            </c:ext>
          </c:extLst>
        </c:ser>
        <c:dLbls>
          <c:showLegendKey val="0"/>
          <c:showVal val="0"/>
          <c:showCatName val="0"/>
          <c:showSerName val="0"/>
          <c:showPercent val="0"/>
          <c:showBubbleSize val="0"/>
        </c:dLbls>
        <c:hiLowLines>
          <c:spPr>
            <a:ln w="0">
              <a:noFill/>
            </a:ln>
          </c:spPr>
        </c:hiLowLines>
        <c:smooth val="0"/>
        <c:axId val="74660050"/>
        <c:axId val="81608384"/>
      </c:lineChart>
      <c:catAx>
        <c:axId val="74660050"/>
        <c:scaling>
          <c:orientation val="minMax"/>
        </c:scaling>
        <c:delete val="0"/>
        <c:axPos val="b"/>
        <c:title>
          <c:tx>
            <c:rich>
              <a:bodyPr rot="0"/>
              <a:lstStyle/>
              <a:p>
                <a:pPr>
                  <a:defRPr sz="1000" b="1" strike="noStrike" spc="-1">
                    <a:solidFill>
                      <a:srgbClr val="000000"/>
                    </a:solidFill>
                    <a:latin typeface="Calibri"/>
                  </a:defRPr>
                </a:pPr>
                <a:r>
                  <a:rPr lang="en-NZ" sz="1000" b="1" strike="noStrike" spc="-1">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1608384"/>
        <c:crosses val="autoZero"/>
        <c:auto val="1"/>
        <c:lblAlgn val="ctr"/>
        <c:lblOffset val="100"/>
        <c:noMultiLvlLbl val="0"/>
      </c:catAx>
      <c:valAx>
        <c:axId val="81608384"/>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NZ" sz="1000" b="1" strike="noStrike" spc="-1">
                    <a:solidFill>
                      <a:srgbClr val="000000"/>
                    </a:solidFill>
                    <a:latin typeface="Calibri"/>
                  </a:rPr>
                  <a:t>Index / ECS Value</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74660050"/>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38100">
      <a:solidFill>
        <a:schemeClr val="tx2">
          <a:lumMod val="50000"/>
        </a:schemeClr>
      </a:solidFill>
      <a:round/>
    </a:ln>
  </c:sp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NZ"/>
              <a:t>Energy Cost Share (ECS) — NZ vs AU vs UK</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lotArea>
      <c:layout/>
      <c:lineChart>
        <c:grouping val="standard"/>
        <c:varyColors val="0"/>
        <c:ser>
          <c:idx val="0"/>
          <c:order val="0"/>
          <c:tx>
            <c:strRef>
              <c:f>Data!$B$3</c:f>
              <c:strCache>
                <c:ptCount val="1"/>
                <c:pt idx="0">
                  <c:v>ECS (NZ)</c:v>
                </c:pt>
              </c:strCache>
            </c:strRef>
          </c:tx>
          <c:spPr>
            <a:ln w="31750" cap="rnd">
              <a:solidFill>
                <a:schemeClr val="accent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Data!$B$4:$B$34</c:f>
              <c:numCache>
                <c:formatCode>0.00%</c:formatCode>
                <c:ptCount val="31"/>
                <c:pt idx="0">
                  <c:v>3.4483081999999998E-2</c:v>
                </c:pt>
                <c:pt idx="1">
                  <c:v>2.8720197999999999E-2</c:v>
                </c:pt>
                <c:pt idx="2">
                  <c:v>3.4538795999999997E-2</c:v>
                </c:pt>
                <c:pt idx="3">
                  <c:v>3.645719E-2</c:v>
                </c:pt>
                <c:pt idx="4">
                  <c:v>3.5570015000000003E-2</c:v>
                </c:pt>
                <c:pt idx="5">
                  <c:v>4.2906918000000002E-2</c:v>
                </c:pt>
                <c:pt idx="6">
                  <c:v>4.1330082999999997E-2</c:v>
                </c:pt>
                <c:pt idx="7">
                  <c:v>3.8838103999999998E-2</c:v>
                </c:pt>
                <c:pt idx="8">
                  <c:v>3.6008219000000001E-2</c:v>
                </c:pt>
                <c:pt idx="9">
                  <c:v>3.8469769000000001E-2</c:v>
                </c:pt>
                <c:pt idx="10">
                  <c:v>4.2683688999999997E-2</c:v>
                </c:pt>
                <c:pt idx="11">
                  <c:v>4.4574098999999999E-2</c:v>
                </c:pt>
                <c:pt idx="12">
                  <c:v>4.2837582999999999E-2</c:v>
                </c:pt>
                <c:pt idx="13">
                  <c:v>3.2050173000000001E-2</c:v>
                </c:pt>
                <c:pt idx="14">
                  <c:v>3.2284287000000002E-2</c:v>
                </c:pt>
                <c:pt idx="15">
                  <c:v>3.4166456999999997E-2</c:v>
                </c:pt>
                <c:pt idx="16">
                  <c:v>3.0056099999999999E-2</c:v>
                </c:pt>
                <c:pt idx="17">
                  <c:v>3.1768585000000002E-2</c:v>
                </c:pt>
                <c:pt idx="18">
                  <c:v>3.7837254000000001E-2</c:v>
                </c:pt>
                <c:pt idx="19">
                  <c:v>4.7905547E-2</c:v>
                </c:pt>
                <c:pt idx="20">
                  <c:v>5.2777580999999997E-2</c:v>
                </c:pt>
                <c:pt idx="21">
                  <c:v>5.5883953E-2</c:v>
                </c:pt>
                <c:pt idx="22">
                  <c:v>6.0759905000000003E-2</c:v>
                </c:pt>
                <c:pt idx="23">
                  <c:v>7.1008657000000003E-2</c:v>
                </c:pt>
                <c:pt idx="24">
                  <c:v>5.4111996000000002E-2</c:v>
                </c:pt>
                <c:pt idx="25">
                  <c:v>6.2885645000000004E-2</c:v>
                </c:pt>
              </c:numCache>
            </c:numRef>
          </c:val>
          <c:smooth val="1"/>
          <c:extLst>
            <c:ext xmlns:c16="http://schemas.microsoft.com/office/drawing/2014/chart" uri="{C3380CC4-5D6E-409C-BE32-E72D297353CC}">
              <c16:uniqueId val="{00000000-4128-4E87-9458-A0C7157F531C}"/>
            </c:ext>
          </c:extLst>
        </c:ser>
        <c:ser>
          <c:idx val="1"/>
          <c:order val="1"/>
          <c:tx>
            <c:strRef>
              <c:f>Data!$I$3</c:f>
              <c:strCache>
                <c:ptCount val="1"/>
                <c:pt idx="0">
                  <c:v>ECS(AU)</c:v>
                </c:pt>
              </c:strCache>
            </c:strRef>
          </c:tx>
          <c:spPr>
            <a:ln w="31750" cap="rnd">
              <a:solidFill>
                <a:schemeClr val="accent2"/>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Data!$I$4:$I$34</c:f>
              <c:numCache>
                <c:formatCode>0.00%</c:formatCode>
                <c:ptCount val="31"/>
                <c:pt idx="0">
                  <c:v>4.0567764999999999E-2</c:v>
                </c:pt>
                <c:pt idx="1">
                  <c:v>2.7576557000000002E-2</c:v>
                </c:pt>
                <c:pt idx="2">
                  <c:v>2.9972722E-2</c:v>
                </c:pt>
                <c:pt idx="3">
                  <c:v>2.8792076999999999E-2</c:v>
                </c:pt>
                <c:pt idx="4">
                  <c:v>3.0243045E-2</c:v>
                </c:pt>
                <c:pt idx="5">
                  <c:v>3.5428169000000002E-2</c:v>
                </c:pt>
                <c:pt idx="6">
                  <c:v>3.2890838999999998E-2</c:v>
                </c:pt>
                <c:pt idx="7">
                  <c:v>2.8840162999999999E-2</c:v>
                </c:pt>
                <c:pt idx="8">
                  <c:v>2.5682264E-2</c:v>
                </c:pt>
                <c:pt idx="9">
                  <c:v>2.4404142E-2</c:v>
                </c:pt>
                <c:pt idx="10">
                  <c:v>2.4847681E-2</c:v>
                </c:pt>
                <c:pt idx="11">
                  <c:v>2.6141646000000001E-2</c:v>
                </c:pt>
                <c:pt idx="12">
                  <c:v>2.4673924E-2</c:v>
                </c:pt>
                <c:pt idx="13">
                  <c:v>1.7740103E-2</c:v>
                </c:pt>
                <c:pt idx="14">
                  <c:v>1.9410835000000001E-2</c:v>
                </c:pt>
                <c:pt idx="15">
                  <c:v>2.5869191999999999E-2</c:v>
                </c:pt>
                <c:pt idx="16">
                  <c:v>2.2514353000000001E-2</c:v>
                </c:pt>
                <c:pt idx="17">
                  <c:v>2.3149573999999999E-2</c:v>
                </c:pt>
                <c:pt idx="18">
                  <c:v>2.5954552999999998E-2</c:v>
                </c:pt>
                <c:pt idx="19">
                  <c:v>2.8458443E-2</c:v>
                </c:pt>
                <c:pt idx="20">
                  <c:v>3.4013048999999997E-2</c:v>
                </c:pt>
                <c:pt idx="21">
                  <c:v>3.4770186000000002E-2</c:v>
                </c:pt>
                <c:pt idx="22">
                  <c:v>3.8241519000000002E-2</c:v>
                </c:pt>
                <c:pt idx="23">
                  <c:v>4.6804853E-2</c:v>
                </c:pt>
                <c:pt idx="24">
                  <c:v>2.9041906999999999E-2</c:v>
                </c:pt>
                <c:pt idx="25">
                  <c:v>3.3486684000000003E-2</c:v>
                </c:pt>
              </c:numCache>
            </c:numRef>
          </c:val>
          <c:smooth val="1"/>
          <c:extLst>
            <c:ext xmlns:c16="http://schemas.microsoft.com/office/drawing/2014/chart" uri="{C3380CC4-5D6E-409C-BE32-E72D297353CC}">
              <c16:uniqueId val="{00000001-4128-4E87-9458-A0C7157F531C}"/>
            </c:ext>
          </c:extLst>
        </c:ser>
        <c:ser>
          <c:idx val="2"/>
          <c:order val="2"/>
          <c:tx>
            <c:strRef>
              <c:f>Data!$P$3</c:f>
              <c:strCache>
                <c:ptCount val="1"/>
                <c:pt idx="0">
                  <c:v>ECS (UK)</c:v>
                </c:pt>
              </c:strCache>
            </c:strRef>
          </c:tx>
          <c:spPr>
            <a:ln w="31750" cap="rnd">
              <a:solidFill>
                <a:schemeClr val="accent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Data!$P$4:$P$34</c:f>
              <c:numCache>
                <c:formatCode>0.00%</c:formatCode>
                <c:ptCount val="31"/>
                <c:pt idx="0">
                  <c:v>6.4062674E-2</c:v>
                </c:pt>
                <c:pt idx="1">
                  <c:v>4.4936697999999997E-2</c:v>
                </c:pt>
                <c:pt idx="2">
                  <c:v>4.5595472999999997E-2</c:v>
                </c:pt>
                <c:pt idx="3">
                  <c:v>4.0530898000000003E-2</c:v>
                </c:pt>
                <c:pt idx="4">
                  <c:v>4.1978411E-2</c:v>
                </c:pt>
                <c:pt idx="5">
                  <c:v>4.3719076000000003E-2</c:v>
                </c:pt>
                <c:pt idx="6">
                  <c:v>3.9474292000000001E-2</c:v>
                </c:pt>
                <c:pt idx="7">
                  <c:v>3.7036527999999999E-2</c:v>
                </c:pt>
                <c:pt idx="8">
                  <c:v>3.4859117000000002E-2</c:v>
                </c:pt>
                <c:pt idx="9">
                  <c:v>3.2440838999999999E-2</c:v>
                </c:pt>
                <c:pt idx="10">
                  <c:v>3.2254313999999999E-2</c:v>
                </c:pt>
                <c:pt idx="11">
                  <c:v>3.5732130000000001E-2</c:v>
                </c:pt>
                <c:pt idx="12">
                  <c:v>3.2745642999999998E-2</c:v>
                </c:pt>
                <c:pt idx="13">
                  <c:v>2.5886889999999999E-2</c:v>
                </c:pt>
                <c:pt idx="14">
                  <c:v>2.7438168999999998E-2</c:v>
                </c:pt>
                <c:pt idx="15">
                  <c:v>3.6190567999999999E-2</c:v>
                </c:pt>
                <c:pt idx="16">
                  <c:v>3.3257372E-2</c:v>
                </c:pt>
                <c:pt idx="17">
                  <c:v>3.1082661000000001E-2</c:v>
                </c:pt>
                <c:pt idx="18">
                  <c:v>3.5762657000000003E-2</c:v>
                </c:pt>
                <c:pt idx="19">
                  <c:v>4.0331855999999999E-2</c:v>
                </c:pt>
                <c:pt idx="20">
                  <c:v>4.8675112999999999E-2</c:v>
                </c:pt>
                <c:pt idx="21">
                  <c:v>5.0447132999999998E-2</c:v>
                </c:pt>
                <c:pt idx="22">
                  <c:v>5.2130382000000003E-2</c:v>
                </c:pt>
                <c:pt idx="23">
                  <c:v>6.4955183E-2</c:v>
                </c:pt>
                <c:pt idx="24">
                  <c:v>4.3944189000000002E-2</c:v>
                </c:pt>
                <c:pt idx="25">
                  <c:v>4.9655278999999997E-2</c:v>
                </c:pt>
              </c:numCache>
            </c:numRef>
          </c:val>
          <c:smooth val="1"/>
          <c:extLst>
            <c:ext xmlns:c16="http://schemas.microsoft.com/office/drawing/2014/chart" uri="{C3380CC4-5D6E-409C-BE32-E72D297353CC}">
              <c16:uniqueId val="{00000002-4128-4E87-9458-A0C7157F531C}"/>
            </c:ext>
          </c:extLst>
        </c:ser>
        <c:dLbls>
          <c:showLegendKey val="0"/>
          <c:showVal val="0"/>
          <c:showCatName val="0"/>
          <c:showSerName val="0"/>
          <c:showPercent val="0"/>
          <c:showBubbleSize val="0"/>
        </c:dLbls>
        <c:hiLowLines>
          <c:spPr>
            <a:ln w="9525">
              <a:solidFill>
                <a:schemeClr val="tx2">
                  <a:lumMod val="60000"/>
                  <a:lumOff val="40000"/>
                </a:schemeClr>
              </a:solidFill>
              <a:prstDash val="dash"/>
            </a:ln>
            <a:effectLst/>
          </c:spPr>
        </c:hiLowLines>
        <c:smooth val="0"/>
        <c:axId val="50406046"/>
        <c:axId val="17611736"/>
      </c:lineChart>
      <c:catAx>
        <c:axId val="50406046"/>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NZ"/>
                  <a:t>Year</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611736"/>
        <c:crosses val="autoZero"/>
        <c:auto val="1"/>
        <c:lblAlgn val="ctr"/>
        <c:lblOffset val="100"/>
        <c:noMultiLvlLbl val="0"/>
      </c:catAx>
      <c:valAx>
        <c:axId val="17611736"/>
        <c:scaling>
          <c:orientation val="minMax"/>
        </c:scaling>
        <c:delete val="0"/>
        <c:axPos val="l"/>
        <c:majorGridlines>
          <c:spPr>
            <a:ln w="9525" cap="flat" cmpd="sng" algn="ctr">
              <a:solidFill>
                <a:schemeClr val="tx2">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NZ"/>
                  <a:t>ECS</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040604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1"/>
  </c:chart>
  <c:spPr>
    <a:solidFill>
      <a:schemeClr val="bg1"/>
    </a:solidFill>
    <a:ln w="38100"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Data!$C$3</c:f>
              <c:strCache>
                <c:ptCount val="1"/>
                <c:pt idx="0">
                  <c:v>GDP % Chg (NZ)</c:v>
                </c:pt>
              </c:strCache>
            </c:strRef>
          </c:tx>
          <c:spPr>
            <a:ln w="21960">
              <a:solidFill>
                <a:srgbClr val="2E75B6"/>
              </a:solidFill>
              <a:round/>
            </a:ln>
          </c:spPr>
          <c:marker>
            <c:symbol val="none"/>
          </c:marker>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Data!$C$4:$C$34</c:f>
              <c:numCache>
                <c:formatCode>0.00%</c:formatCode>
                <c:ptCount val="31"/>
                <c:pt idx="0">
                  <c:v>1.6149793624204298E-2</c:v>
                </c:pt>
                <c:pt idx="1">
                  <c:v>2.7056582510303299E-2</c:v>
                </c:pt>
                <c:pt idx="2">
                  <c:v>9.5916665470187502E-3</c:v>
                </c:pt>
                <c:pt idx="3">
                  <c:v>-3.4539433481123199E-3</c:v>
                </c:pt>
                <c:pt idx="4">
                  <c:v>1.55216537770372E-3</c:v>
                </c:pt>
                <c:pt idx="5">
                  <c:v>1.3648455016812E-3</c:v>
                </c:pt>
                <c:pt idx="6">
                  <c:v>-1.08774988874848E-2</c:v>
                </c:pt>
                <c:pt idx="7">
                  <c:v>1.11660327812382E-2</c:v>
                </c:pt>
                <c:pt idx="8">
                  <c:v>6.41638825463373E-2</c:v>
                </c:pt>
                <c:pt idx="9">
                  <c:v>5.1083130566602797E-2</c:v>
                </c:pt>
                <c:pt idx="10">
                  <c:v>4.5920092095193203E-2</c:v>
                </c:pt>
                <c:pt idx="11">
                  <c:v>3.6366232229504199E-2</c:v>
                </c:pt>
                <c:pt idx="12">
                  <c:v>1.9753158378018599E-2</c:v>
                </c:pt>
                <c:pt idx="13">
                  <c:v>6.0870675899180101E-3</c:v>
                </c:pt>
                <c:pt idx="14">
                  <c:v>5.5116551831002898E-2</c:v>
                </c:pt>
                <c:pt idx="15">
                  <c:v>2.76728296451027E-2</c:v>
                </c:pt>
                <c:pt idx="16">
                  <c:v>3.4358683906344799E-2</c:v>
                </c:pt>
                <c:pt idx="17">
                  <c:v>4.8738986899248701E-2</c:v>
                </c:pt>
                <c:pt idx="18">
                  <c:v>4.63657343278902E-2</c:v>
                </c:pt>
                <c:pt idx="19">
                  <c:v>3.8091792610019701E-2</c:v>
                </c:pt>
                <c:pt idx="20">
                  <c:v>3.4005476756716203E-2</c:v>
                </c:pt>
                <c:pt idx="21">
                  <c:v>2.9259758507939299E-2</c:v>
                </c:pt>
                <c:pt idx="22">
                  <c:v>2.8646279822343301E-2</c:v>
                </c:pt>
                <c:pt idx="23">
                  <c:v>-1.30930001923564E-2</c:v>
                </c:pt>
                <c:pt idx="24">
                  <c:v>-5.3763164295041596E-3</c:v>
                </c:pt>
                <c:pt idx="25">
                  <c:v>1.37039191023831E-2</c:v>
                </c:pt>
                <c:pt idx="26">
                  <c:v>2.4752047878877199E-2</c:v>
                </c:pt>
                <c:pt idx="27">
                  <c:v>2.32968426303981E-2</c:v>
                </c:pt>
                <c:pt idx="28">
                  <c:v>2.7439851243847398E-2</c:v>
                </c:pt>
                <c:pt idx="29">
                  <c:v>3.5761757996746399E-2</c:v>
                </c:pt>
                <c:pt idx="30">
                  <c:v>3.3929999330520003E-2</c:v>
                </c:pt>
              </c:numCache>
            </c:numRef>
          </c:val>
          <c:smooth val="1"/>
          <c:extLst>
            <c:ext xmlns:c16="http://schemas.microsoft.com/office/drawing/2014/chart" uri="{C3380CC4-5D6E-409C-BE32-E72D297353CC}">
              <c16:uniqueId val="{00000000-55C7-4D60-9F74-66C84B685D31}"/>
            </c:ext>
          </c:extLst>
        </c:ser>
        <c:ser>
          <c:idx val="1"/>
          <c:order val="1"/>
          <c:tx>
            <c:strRef>
              <c:f>Data!$J$3</c:f>
              <c:strCache>
                <c:ptCount val="1"/>
                <c:pt idx="0">
                  <c:v>GDP % Chg (AU)</c:v>
                </c:pt>
              </c:strCache>
            </c:strRef>
          </c:tx>
          <c:spPr>
            <a:ln w="21960">
              <a:solidFill>
                <a:srgbClr val="4472C4"/>
              </a:solidFill>
              <a:round/>
            </a:ln>
          </c:spPr>
          <c:marker>
            <c:symbol val="none"/>
          </c:marker>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Data!$J$4:$J$34</c:f>
              <c:numCache>
                <c:formatCode>0.00%</c:formatCode>
                <c:ptCount val="31"/>
                <c:pt idx="0">
                  <c:v>5.2494805114085899E-2</c:v>
                </c:pt>
                <c:pt idx="1">
                  <c:v>4.1015278981464898E-2</c:v>
                </c:pt>
                <c:pt idx="2">
                  <c:v>2.5744927136275499E-2</c:v>
                </c:pt>
                <c:pt idx="3">
                  <c:v>5.7690381847342001E-2</c:v>
                </c:pt>
                <c:pt idx="4">
                  <c:v>3.8787000059352601E-2</c:v>
                </c:pt>
                <c:pt idx="5">
                  <c:v>3.5291348844549202E-2</c:v>
                </c:pt>
                <c:pt idx="6">
                  <c:v>-3.79883393800185E-3</c:v>
                </c:pt>
                <c:pt idx="7">
                  <c:v>3.9900703307603202E-3</c:v>
                </c:pt>
                <c:pt idx="8">
                  <c:v>4.0601347685168702E-2</c:v>
                </c:pt>
                <c:pt idx="9">
                  <c:v>4.03794657229683E-2</c:v>
                </c:pt>
                <c:pt idx="10">
                  <c:v>3.87904043958818E-2</c:v>
                </c:pt>
                <c:pt idx="11">
                  <c:v>3.9491407216512897E-2</c:v>
                </c:pt>
                <c:pt idx="12">
                  <c:v>3.9473418040174603E-2</c:v>
                </c:pt>
                <c:pt idx="13">
                  <c:v>4.4382434282081801E-2</c:v>
                </c:pt>
                <c:pt idx="14">
                  <c:v>5.0070963540992601E-2</c:v>
                </c:pt>
                <c:pt idx="15">
                  <c:v>3.86865768166436E-2</c:v>
                </c:pt>
                <c:pt idx="16">
                  <c:v>1.92938679706415E-2</c:v>
                </c:pt>
                <c:pt idx="17">
                  <c:v>3.8566867207919998E-2</c:v>
                </c:pt>
                <c:pt idx="18">
                  <c:v>3.0707987214718201E-2</c:v>
                </c:pt>
                <c:pt idx="19">
                  <c:v>4.1493743448779798E-2</c:v>
                </c:pt>
                <c:pt idx="20">
                  <c:v>3.2066423006507999E-2</c:v>
                </c:pt>
                <c:pt idx="21">
                  <c:v>2.9828702853226099E-2</c:v>
                </c:pt>
                <c:pt idx="22">
                  <c:v>3.7576578643791797E-2</c:v>
                </c:pt>
                <c:pt idx="23">
                  <c:v>3.7066995060460503E-2</c:v>
                </c:pt>
                <c:pt idx="24">
                  <c:v>1.8196782608441701E-2</c:v>
                </c:pt>
                <c:pt idx="25">
                  <c:v>2.0181821442019701E-2</c:v>
                </c:pt>
                <c:pt idx="26">
                  <c:v>2.37956133560841E-2</c:v>
                </c:pt>
                <c:pt idx="27">
                  <c:v>3.6327203031982301E-2</c:v>
                </c:pt>
                <c:pt idx="28">
                  <c:v>2.4400490620624601E-2</c:v>
                </c:pt>
                <c:pt idx="29">
                  <c:v>2.4998512224341001E-2</c:v>
                </c:pt>
                <c:pt idx="30">
                  <c:v>2.2400285754314402E-2</c:v>
                </c:pt>
              </c:numCache>
            </c:numRef>
          </c:val>
          <c:smooth val="1"/>
          <c:extLst>
            <c:ext xmlns:c16="http://schemas.microsoft.com/office/drawing/2014/chart" uri="{C3380CC4-5D6E-409C-BE32-E72D297353CC}">
              <c16:uniqueId val="{00000001-55C7-4D60-9F74-66C84B685D31}"/>
            </c:ext>
          </c:extLst>
        </c:ser>
        <c:ser>
          <c:idx val="2"/>
          <c:order val="2"/>
          <c:tx>
            <c:strRef>
              <c:f>Data!$Q$3</c:f>
              <c:strCache>
                <c:ptCount val="1"/>
                <c:pt idx="0">
                  <c:v>GDP % Chg (UK)</c:v>
                </c:pt>
              </c:strCache>
            </c:strRef>
          </c:tx>
          <c:spPr>
            <a:ln w="21960">
              <a:solidFill>
                <a:srgbClr val="264478"/>
              </a:solidFill>
              <a:round/>
            </a:ln>
          </c:spPr>
          <c:marker>
            <c:symbol val="none"/>
          </c:marker>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Data!$Q$4:$Q$34</c:f>
              <c:numCache>
                <c:formatCode>0.00%</c:formatCode>
                <c:ptCount val="31"/>
                <c:pt idx="0">
                  <c:v>4.1873056551593603E-2</c:v>
                </c:pt>
                <c:pt idx="1">
                  <c:v>3.1532520728592701E-2</c:v>
                </c:pt>
                <c:pt idx="2">
                  <c:v>5.3594846585044001E-2</c:v>
                </c:pt>
                <c:pt idx="3">
                  <c:v>5.78739995952742E-2</c:v>
                </c:pt>
                <c:pt idx="4">
                  <c:v>2.5828950669910099E-2</c:v>
                </c:pt>
                <c:pt idx="5">
                  <c:v>7.1688296281872997E-3</c:v>
                </c:pt>
                <c:pt idx="6">
                  <c:v>-1.11898405289487E-2</c:v>
                </c:pt>
                <c:pt idx="7">
                  <c:v>3.5987241549750599E-3</c:v>
                </c:pt>
                <c:pt idx="8">
                  <c:v>2.50701367525181E-2</c:v>
                </c:pt>
                <c:pt idx="9">
                  <c:v>3.8850747754034701E-2</c:v>
                </c:pt>
                <c:pt idx="10">
                  <c:v>2.50637285243695E-2</c:v>
                </c:pt>
                <c:pt idx="11">
                  <c:v>2.54873441364151E-2</c:v>
                </c:pt>
                <c:pt idx="12">
                  <c:v>3.1271784620208402E-2</c:v>
                </c:pt>
                <c:pt idx="13">
                  <c:v>3.1907793716674501E-2</c:v>
                </c:pt>
                <c:pt idx="14">
                  <c:v>3.2833482043775897E-2</c:v>
                </c:pt>
                <c:pt idx="15">
                  <c:v>3.7449624430463201E-2</c:v>
                </c:pt>
                <c:pt idx="16">
                  <c:v>2.7261073375417302E-2</c:v>
                </c:pt>
                <c:pt idx="17">
                  <c:v>2.3972482840580199E-2</c:v>
                </c:pt>
                <c:pt idx="18">
                  <c:v>3.4662388982013001E-2</c:v>
                </c:pt>
                <c:pt idx="19">
                  <c:v>2.5278771402296601E-2</c:v>
                </c:pt>
                <c:pt idx="20">
                  <c:v>2.9720957979860602E-2</c:v>
                </c:pt>
                <c:pt idx="21">
                  <c:v>2.50300855954745E-2</c:v>
                </c:pt>
                <c:pt idx="22">
                  <c:v>2.5558191117036999E-2</c:v>
                </c:pt>
                <c:pt idx="23">
                  <c:v>-6.27205201223418E-3</c:v>
                </c:pt>
                <c:pt idx="24">
                  <c:v>-4.3277376085660797E-2</c:v>
                </c:pt>
                <c:pt idx="25">
                  <c:v>1.9151618327202E-2</c:v>
                </c:pt>
                <c:pt idx="26">
                  <c:v>1.5090617823648501E-2</c:v>
                </c:pt>
                <c:pt idx="27">
                  <c:v>1.3130185984248499E-2</c:v>
                </c:pt>
                <c:pt idx="28">
                  <c:v>1.9110784106548401E-2</c:v>
                </c:pt>
                <c:pt idx="29">
                  <c:v>3.07048379406776E-2</c:v>
                </c:pt>
                <c:pt idx="30">
                  <c:v>2.22150212833063E-2</c:v>
                </c:pt>
              </c:numCache>
            </c:numRef>
          </c:val>
          <c:smooth val="1"/>
          <c:extLst>
            <c:ext xmlns:c16="http://schemas.microsoft.com/office/drawing/2014/chart" uri="{C3380CC4-5D6E-409C-BE32-E72D297353CC}">
              <c16:uniqueId val="{00000002-55C7-4D60-9F74-66C84B685D31}"/>
            </c:ext>
          </c:extLst>
        </c:ser>
        <c:dLbls>
          <c:showLegendKey val="0"/>
          <c:showVal val="0"/>
          <c:showCatName val="0"/>
          <c:showSerName val="0"/>
          <c:showPercent val="0"/>
          <c:showBubbleSize val="0"/>
        </c:dLbls>
        <c:dropLines/>
        <c:smooth val="0"/>
        <c:axId val="65125051"/>
        <c:axId val="64649381"/>
      </c:lineChart>
      <c:catAx>
        <c:axId val="65125051"/>
        <c:scaling>
          <c:orientation val="minMax"/>
        </c:scaling>
        <c:delete val="0"/>
        <c:axPos val="b"/>
        <c:title>
          <c:tx>
            <c:rich>
              <a:bodyPr rot="0"/>
              <a:lstStyle/>
              <a:p>
                <a:pPr>
                  <a:defRPr sz="1000" b="1" strike="noStrike" spc="-1">
                    <a:solidFill>
                      <a:srgbClr val="000000"/>
                    </a:solidFill>
                    <a:latin typeface="Calibri"/>
                  </a:defRPr>
                </a:pPr>
                <a:r>
                  <a:rPr lang="en-NZ" sz="1000" b="1" strike="noStrike" spc="-1">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4649381"/>
        <c:crosses val="autoZero"/>
        <c:auto val="1"/>
        <c:lblAlgn val="ctr"/>
        <c:lblOffset val="100"/>
        <c:noMultiLvlLbl val="0"/>
      </c:catAx>
      <c:valAx>
        <c:axId val="64649381"/>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NZ" sz="1000" b="1" strike="noStrike" spc="-1">
                    <a:solidFill>
                      <a:srgbClr val="000000"/>
                    </a:solidFill>
                    <a:latin typeface="Calibri"/>
                  </a:rPr>
                  <a:t>GDP % Change</a:t>
                </a:r>
              </a:p>
            </c:rich>
          </c:tx>
          <c:overlay val="0"/>
          <c:spPr>
            <a:noFill/>
            <a:ln w="0">
              <a:noFill/>
            </a:ln>
          </c:spPr>
        </c:title>
        <c:numFmt formatCode="0%" sourceLinked="0"/>
        <c:majorTickMark val="out"/>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65125051"/>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38100">
      <a:solidFill>
        <a:schemeClr val="tx2">
          <a:lumMod val="50000"/>
        </a:schemeClr>
      </a:solidFill>
      <a:round/>
    </a:ln>
  </c:sp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NZ" sz="1800" b="1" strike="noStrike" spc="-1">
                <a:solidFill>
                  <a:srgbClr val="000000"/>
                </a:solidFill>
                <a:latin typeface="Calibri"/>
              </a:rPr>
              <a:t>Health Index — NZ vs AU vs UK</a:t>
            </a:r>
          </a:p>
        </c:rich>
      </c:tx>
      <c:overlay val="0"/>
      <c:spPr>
        <a:noFill/>
        <a:ln w="0">
          <a:noFill/>
        </a:ln>
      </c:spPr>
    </c:title>
    <c:autoTitleDeleted val="0"/>
    <c:plotArea>
      <c:layout/>
      <c:lineChart>
        <c:grouping val="standard"/>
        <c:varyColors val="0"/>
        <c:ser>
          <c:idx val="0"/>
          <c:order val="0"/>
          <c:tx>
            <c:strRef>
              <c:f>Data!$E$3</c:f>
              <c:strCache>
                <c:ptCount val="1"/>
                <c:pt idx="0">
                  <c:v>Health Index (NZ)</c:v>
                </c:pt>
              </c:strCache>
            </c:strRef>
          </c:tx>
          <c:spPr>
            <a:ln w="21960">
              <a:solidFill>
                <a:srgbClr val="C0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Data!$E$4:$E$34</c:f>
              <c:numCache>
                <c:formatCode>0.0000</c:formatCode>
                <c:ptCount val="31"/>
                <c:pt idx="0">
                  <c:v>-0.30704087935798818</c:v>
                </c:pt>
                <c:pt idx="1">
                  <c:v>-0.30704087935798818</c:v>
                </c:pt>
                <c:pt idx="2">
                  <c:v>-0.30704087935798818</c:v>
                </c:pt>
                <c:pt idx="3">
                  <c:v>-0.30704087935798818</c:v>
                </c:pt>
                <c:pt idx="4">
                  <c:v>-0.30704087935798818</c:v>
                </c:pt>
                <c:pt idx="5">
                  <c:v>-0.30704087935798818</c:v>
                </c:pt>
                <c:pt idx="6">
                  <c:v>-0.30704087935798818</c:v>
                </c:pt>
                <c:pt idx="7">
                  <c:v>-0.30704087935798818</c:v>
                </c:pt>
                <c:pt idx="8">
                  <c:v>-0.30704087935798818</c:v>
                </c:pt>
                <c:pt idx="9">
                  <c:v>-0.30704087935798818</c:v>
                </c:pt>
                <c:pt idx="10">
                  <c:v>-0.30704087935798818</c:v>
                </c:pt>
                <c:pt idx="11">
                  <c:v>-0.30704087935798818</c:v>
                </c:pt>
                <c:pt idx="12">
                  <c:v>-0.30704087935798818</c:v>
                </c:pt>
                <c:pt idx="13">
                  <c:v>-0.30704087935798818</c:v>
                </c:pt>
                <c:pt idx="14">
                  <c:v>-0.30704087935798818</c:v>
                </c:pt>
                <c:pt idx="15">
                  <c:v>-0.30704087935798818</c:v>
                </c:pt>
                <c:pt idx="16">
                  <c:v>-0.30704087935798818</c:v>
                </c:pt>
                <c:pt idx="17">
                  <c:v>-0.30704087935798818</c:v>
                </c:pt>
                <c:pt idx="18">
                  <c:v>-0.30704087935798818</c:v>
                </c:pt>
                <c:pt idx="19">
                  <c:v>-0.30704087935798818</c:v>
                </c:pt>
                <c:pt idx="20">
                  <c:v>-0.30704087935798818</c:v>
                </c:pt>
                <c:pt idx="21">
                  <c:v>-0.30704087935798818</c:v>
                </c:pt>
                <c:pt idx="22">
                  <c:v>-0.30704087935798818</c:v>
                </c:pt>
                <c:pt idx="23">
                  <c:v>-0.30704087935798818</c:v>
                </c:pt>
                <c:pt idx="24">
                  <c:v>-0.30704087935798818</c:v>
                </c:pt>
                <c:pt idx="25">
                  <c:v>-0.30704087935798818</c:v>
                </c:pt>
                <c:pt idx="26">
                  <c:v>-0.30704087935798818</c:v>
                </c:pt>
                <c:pt idx="27">
                  <c:v>-0.30704087935798818</c:v>
                </c:pt>
                <c:pt idx="28">
                  <c:v>-0.30704087935798818</c:v>
                </c:pt>
                <c:pt idx="29">
                  <c:v>-0.30704087935798818</c:v>
                </c:pt>
                <c:pt idx="30">
                  <c:v>-0.30704087935798818</c:v>
                </c:pt>
              </c:numCache>
            </c:numRef>
          </c:val>
          <c:smooth val="1"/>
          <c:extLst>
            <c:ext xmlns:c16="http://schemas.microsoft.com/office/drawing/2014/chart" uri="{C3380CC4-5D6E-409C-BE32-E72D297353CC}">
              <c16:uniqueId val="{00000000-44F8-4084-841F-5C7B7708FE20}"/>
            </c:ext>
          </c:extLst>
        </c:ser>
        <c:ser>
          <c:idx val="1"/>
          <c:order val="1"/>
          <c:tx>
            <c:strRef>
              <c:f>Data!$L$3</c:f>
              <c:strCache>
                <c:ptCount val="1"/>
                <c:pt idx="0">
                  <c:v>Health Index (AU)</c:v>
                </c:pt>
              </c:strCache>
            </c:strRef>
          </c:tx>
          <c:spPr>
            <a:ln w="21960">
              <a:solidFill>
                <a:srgbClr val="FF000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Data!$L$4:$L$34</c:f>
              <c:numCache>
                <c:formatCode>0.0000</c:formatCode>
                <c:ptCount val="31"/>
                <c:pt idx="0">
                  <c:v>-0.30724288979585795</c:v>
                </c:pt>
                <c:pt idx="1">
                  <c:v>-0.30724288979585795</c:v>
                </c:pt>
                <c:pt idx="2">
                  <c:v>-0.30724288979585795</c:v>
                </c:pt>
                <c:pt idx="3">
                  <c:v>-0.30724288979585795</c:v>
                </c:pt>
                <c:pt idx="4">
                  <c:v>-0.30724288979585795</c:v>
                </c:pt>
                <c:pt idx="5">
                  <c:v>-0.30724288979585795</c:v>
                </c:pt>
                <c:pt idx="6">
                  <c:v>-0.30724288979585795</c:v>
                </c:pt>
                <c:pt idx="7">
                  <c:v>-0.30724288979585795</c:v>
                </c:pt>
                <c:pt idx="8">
                  <c:v>-0.30724288979585795</c:v>
                </c:pt>
                <c:pt idx="9">
                  <c:v>-0.30724288979585795</c:v>
                </c:pt>
                <c:pt idx="10">
                  <c:v>-0.30724288979585795</c:v>
                </c:pt>
                <c:pt idx="11">
                  <c:v>-0.30724288979585795</c:v>
                </c:pt>
                <c:pt idx="12">
                  <c:v>-0.30724288979585795</c:v>
                </c:pt>
                <c:pt idx="13">
                  <c:v>-0.30724288979585795</c:v>
                </c:pt>
                <c:pt idx="14">
                  <c:v>-0.30724288979585795</c:v>
                </c:pt>
                <c:pt idx="15">
                  <c:v>-0.30724288979585795</c:v>
                </c:pt>
                <c:pt idx="16">
                  <c:v>-0.30724288979585795</c:v>
                </c:pt>
                <c:pt idx="17">
                  <c:v>-0.30724288979585795</c:v>
                </c:pt>
                <c:pt idx="18">
                  <c:v>-0.30724288979585795</c:v>
                </c:pt>
                <c:pt idx="19">
                  <c:v>-0.30724288979585795</c:v>
                </c:pt>
                <c:pt idx="20">
                  <c:v>-0.30724288979585795</c:v>
                </c:pt>
                <c:pt idx="21">
                  <c:v>-0.30724288979585795</c:v>
                </c:pt>
                <c:pt idx="22">
                  <c:v>-0.30724288979585795</c:v>
                </c:pt>
                <c:pt idx="23">
                  <c:v>-0.30724288979585795</c:v>
                </c:pt>
                <c:pt idx="24">
                  <c:v>-0.30724288979585795</c:v>
                </c:pt>
                <c:pt idx="25">
                  <c:v>-0.30724288979585795</c:v>
                </c:pt>
                <c:pt idx="26">
                  <c:v>-0.30724288979585795</c:v>
                </c:pt>
                <c:pt idx="27">
                  <c:v>-0.30724288979585795</c:v>
                </c:pt>
                <c:pt idx="28">
                  <c:v>-0.30724288979585795</c:v>
                </c:pt>
                <c:pt idx="29">
                  <c:v>-0.30724288979585795</c:v>
                </c:pt>
              </c:numCache>
            </c:numRef>
          </c:val>
          <c:smooth val="1"/>
          <c:extLst>
            <c:ext xmlns:c16="http://schemas.microsoft.com/office/drawing/2014/chart" uri="{C3380CC4-5D6E-409C-BE32-E72D297353CC}">
              <c16:uniqueId val="{00000001-44F8-4084-841F-5C7B7708FE20}"/>
            </c:ext>
          </c:extLst>
        </c:ser>
        <c:ser>
          <c:idx val="2"/>
          <c:order val="2"/>
          <c:tx>
            <c:strRef>
              <c:f>Data!$S$3</c:f>
              <c:strCache>
                <c:ptCount val="1"/>
                <c:pt idx="0">
                  <c:v>Health Index (UK)</c:v>
                </c:pt>
              </c:strCache>
            </c:strRef>
          </c:tx>
          <c:spPr>
            <a:ln w="21960">
              <a:solidFill>
                <a:srgbClr val="843C0C"/>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Data!$S$4:$S$34</c:f>
              <c:numCache>
                <c:formatCode>0.0000</c:formatCode>
                <c:ptCount val="31"/>
                <c:pt idx="0">
                  <c:v>-0.3070620570739645</c:v>
                </c:pt>
                <c:pt idx="1">
                  <c:v>-0.3070620570739645</c:v>
                </c:pt>
                <c:pt idx="2">
                  <c:v>-0.3070620570739645</c:v>
                </c:pt>
                <c:pt idx="3">
                  <c:v>-0.3070620570739645</c:v>
                </c:pt>
                <c:pt idx="4">
                  <c:v>-0.3070620570739645</c:v>
                </c:pt>
                <c:pt idx="5">
                  <c:v>-0.3070620570739645</c:v>
                </c:pt>
                <c:pt idx="6">
                  <c:v>-0.3070620570739645</c:v>
                </c:pt>
                <c:pt idx="7">
                  <c:v>-0.3070620570739645</c:v>
                </c:pt>
                <c:pt idx="8">
                  <c:v>-0.3070620570739645</c:v>
                </c:pt>
                <c:pt idx="9">
                  <c:v>-0.3070620570739645</c:v>
                </c:pt>
                <c:pt idx="10">
                  <c:v>-0.3070620570739645</c:v>
                </c:pt>
                <c:pt idx="11">
                  <c:v>-0.3070620570739645</c:v>
                </c:pt>
                <c:pt idx="12">
                  <c:v>-0.3070620570739645</c:v>
                </c:pt>
                <c:pt idx="13">
                  <c:v>-0.3070620570739645</c:v>
                </c:pt>
                <c:pt idx="14">
                  <c:v>-0.3070620570739645</c:v>
                </c:pt>
                <c:pt idx="15">
                  <c:v>-0.3070620570739645</c:v>
                </c:pt>
                <c:pt idx="16">
                  <c:v>-0.3070620570739645</c:v>
                </c:pt>
                <c:pt idx="17">
                  <c:v>-0.3070620570739645</c:v>
                </c:pt>
                <c:pt idx="18">
                  <c:v>-0.3070620570739645</c:v>
                </c:pt>
                <c:pt idx="19">
                  <c:v>-0.3070620570739645</c:v>
                </c:pt>
                <c:pt idx="20">
                  <c:v>-0.3070620570739645</c:v>
                </c:pt>
                <c:pt idx="21">
                  <c:v>-0.3070620570739645</c:v>
                </c:pt>
                <c:pt idx="22">
                  <c:v>-0.3070620570739645</c:v>
                </c:pt>
                <c:pt idx="23">
                  <c:v>-0.3070620570739645</c:v>
                </c:pt>
                <c:pt idx="24">
                  <c:v>-0.3070620570739645</c:v>
                </c:pt>
                <c:pt idx="25">
                  <c:v>-0.3070620570739645</c:v>
                </c:pt>
                <c:pt idx="26">
                  <c:v>-0.3070620570739645</c:v>
                </c:pt>
                <c:pt idx="27">
                  <c:v>-0.3070620570739645</c:v>
                </c:pt>
                <c:pt idx="28">
                  <c:v>-0.3070620570739645</c:v>
                </c:pt>
                <c:pt idx="29">
                  <c:v>-0.3070620570739645</c:v>
                </c:pt>
              </c:numCache>
            </c:numRef>
          </c:val>
          <c:smooth val="1"/>
          <c:extLst>
            <c:ext xmlns:c16="http://schemas.microsoft.com/office/drawing/2014/chart" uri="{C3380CC4-5D6E-409C-BE32-E72D297353CC}">
              <c16:uniqueId val="{00000002-44F8-4084-841F-5C7B7708FE20}"/>
            </c:ext>
          </c:extLst>
        </c:ser>
        <c:dLbls>
          <c:showLegendKey val="0"/>
          <c:showVal val="0"/>
          <c:showCatName val="0"/>
          <c:showSerName val="0"/>
          <c:showPercent val="0"/>
          <c:showBubbleSize val="0"/>
        </c:dLbls>
        <c:hiLowLines>
          <c:spPr>
            <a:ln w="0">
              <a:noFill/>
            </a:ln>
          </c:spPr>
        </c:hiLowLines>
        <c:smooth val="0"/>
        <c:axId val="35377652"/>
        <c:axId val="5957402"/>
      </c:lineChart>
      <c:catAx>
        <c:axId val="35377652"/>
        <c:scaling>
          <c:orientation val="minMax"/>
        </c:scaling>
        <c:delete val="0"/>
        <c:axPos val="b"/>
        <c:title>
          <c:tx>
            <c:rich>
              <a:bodyPr rot="0"/>
              <a:lstStyle/>
              <a:p>
                <a:pPr>
                  <a:defRPr sz="1000" b="1" strike="noStrike" spc="-1">
                    <a:solidFill>
                      <a:srgbClr val="000000"/>
                    </a:solidFill>
                    <a:latin typeface="Calibri"/>
                  </a:defRPr>
                </a:pPr>
                <a:r>
                  <a:rPr lang="en-NZ" sz="1000" b="1" strike="noStrike" spc="-1">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5957402"/>
        <c:crosses val="autoZero"/>
        <c:auto val="1"/>
        <c:lblAlgn val="ctr"/>
        <c:lblOffset val="100"/>
        <c:noMultiLvlLbl val="0"/>
      </c:catAx>
      <c:valAx>
        <c:axId val="5957402"/>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NZ" sz="1000" b="1" strike="noStrike" spc="-1">
                    <a:solidFill>
                      <a:srgbClr val="000000"/>
                    </a:solidFill>
                    <a:latin typeface="Calibri"/>
                  </a:rPr>
                  <a:t>Health Index (0–1)</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3537765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38100">
      <a:solidFill>
        <a:schemeClr val="tx2">
          <a:lumMod val="50000"/>
        </a:schemeClr>
      </a:solidFill>
      <a:round/>
    </a:ln>
  </c:sp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a:lstStyle/>
          <a:p>
            <a:pPr>
              <a:defRPr sz="1800" b="1" strike="noStrike" spc="-1">
                <a:solidFill>
                  <a:srgbClr val="000000"/>
                </a:solidFill>
                <a:latin typeface="Calibri"/>
              </a:defRPr>
            </a:pPr>
            <a:r>
              <a:rPr lang="en-NZ" sz="1800" b="1" strike="noStrike" spc="-1">
                <a:solidFill>
                  <a:srgbClr val="000000"/>
                </a:solidFill>
                <a:latin typeface="Calibri"/>
              </a:rPr>
              <a:t>Education Index — NZ vs AU vs UK</a:t>
            </a:r>
          </a:p>
        </c:rich>
      </c:tx>
      <c:overlay val="0"/>
      <c:spPr>
        <a:noFill/>
        <a:ln w="0">
          <a:noFill/>
        </a:ln>
      </c:spPr>
    </c:title>
    <c:autoTitleDeleted val="0"/>
    <c:plotArea>
      <c:layout/>
      <c:lineChart>
        <c:grouping val="standard"/>
        <c:varyColors val="0"/>
        <c:ser>
          <c:idx val="0"/>
          <c:order val="0"/>
          <c:tx>
            <c:strRef>
              <c:f>Data!$F$3</c:f>
              <c:strCache>
                <c:ptCount val="1"/>
                <c:pt idx="0">
                  <c:v>Edu Index (NZ)</c:v>
                </c:pt>
              </c:strCache>
            </c:strRef>
          </c:tx>
          <c:spPr>
            <a:ln w="21960">
              <a:solidFill>
                <a:srgbClr val="70AD47"/>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Data!$F$4:$F$34</c:f>
              <c:numCache>
                <c:formatCode>0.0000</c:formatCode>
                <c:ptCount val="31"/>
                <c:pt idx="0">
                  <c:v>0.77333333333333298</c:v>
                </c:pt>
                <c:pt idx="1">
                  <c:v>0.77722222222222204</c:v>
                </c:pt>
                <c:pt idx="2">
                  <c:v>0.78111111111111098</c:v>
                </c:pt>
                <c:pt idx="3">
                  <c:v>0.78500000000000003</c:v>
                </c:pt>
                <c:pt idx="4">
                  <c:v>0.78888888888888897</c:v>
                </c:pt>
                <c:pt idx="5">
                  <c:v>0.79277777777777803</c:v>
                </c:pt>
                <c:pt idx="6">
                  <c:v>0.80688888888888899</c:v>
                </c:pt>
                <c:pt idx="7">
                  <c:v>0.82099999999999995</c:v>
                </c:pt>
                <c:pt idx="8">
                  <c:v>0.83511111111111103</c:v>
                </c:pt>
                <c:pt idx="9">
                  <c:v>0.84922222222222199</c:v>
                </c:pt>
                <c:pt idx="10">
                  <c:v>0.86333333333333295</c:v>
                </c:pt>
                <c:pt idx="11">
                  <c:v>0.86733333333333296</c:v>
                </c:pt>
                <c:pt idx="12">
                  <c:v>0.87133333333333296</c:v>
                </c:pt>
                <c:pt idx="13">
                  <c:v>0.87533333333333296</c:v>
                </c:pt>
                <c:pt idx="14">
                  <c:v>0.87933333333333297</c:v>
                </c:pt>
                <c:pt idx="15">
                  <c:v>0.88333333333333297</c:v>
                </c:pt>
                <c:pt idx="16">
                  <c:v>0.89466666666666705</c:v>
                </c:pt>
                <c:pt idx="17">
                  <c:v>0.90600000000000003</c:v>
                </c:pt>
                <c:pt idx="18">
                  <c:v>0.917333333333333</c:v>
                </c:pt>
                <c:pt idx="19">
                  <c:v>0.92866666666666697</c:v>
                </c:pt>
                <c:pt idx="20">
                  <c:v>0.94</c:v>
                </c:pt>
                <c:pt idx="21">
                  <c:v>0.94333333333333302</c:v>
                </c:pt>
                <c:pt idx="22">
                  <c:v>0.95166666666666699</c:v>
                </c:pt>
                <c:pt idx="23">
                  <c:v>0.94944444444444398</c:v>
                </c:pt>
                <c:pt idx="24">
                  <c:v>0.974444444444444</c:v>
                </c:pt>
                <c:pt idx="25">
                  <c:v>0.96388888888888902</c:v>
                </c:pt>
                <c:pt idx="26">
                  <c:v>0.95555555555555605</c:v>
                </c:pt>
                <c:pt idx="27">
                  <c:v>0.95</c:v>
                </c:pt>
                <c:pt idx="28">
                  <c:v>0.95</c:v>
                </c:pt>
                <c:pt idx="29">
                  <c:v>0.95</c:v>
                </c:pt>
                <c:pt idx="30">
                  <c:v>0.95</c:v>
                </c:pt>
              </c:numCache>
            </c:numRef>
          </c:val>
          <c:smooth val="1"/>
          <c:extLst>
            <c:ext xmlns:c16="http://schemas.microsoft.com/office/drawing/2014/chart" uri="{C3380CC4-5D6E-409C-BE32-E72D297353CC}">
              <c16:uniqueId val="{00000000-9F23-41B5-B23F-97CFD8B61B9F}"/>
            </c:ext>
          </c:extLst>
        </c:ser>
        <c:ser>
          <c:idx val="1"/>
          <c:order val="1"/>
          <c:tx>
            <c:strRef>
              <c:f>Data!$M$3</c:f>
              <c:strCache>
                <c:ptCount val="1"/>
                <c:pt idx="0">
                  <c:v>Edu Index (AU)</c:v>
                </c:pt>
              </c:strCache>
            </c:strRef>
          </c:tx>
          <c:spPr>
            <a:ln w="21960">
              <a:solidFill>
                <a:srgbClr val="00B050"/>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Data!$M$4:$M$34</c:f>
              <c:numCache>
                <c:formatCode>0.0000</c:formatCode>
                <c:ptCount val="31"/>
                <c:pt idx="0">
                  <c:v>0.87</c:v>
                </c:pt>
                <c:pt idx="1">
                  <c:v>0.87066666666666703</c:v>
                </c:pt>
                <c:pt idx="2">
                  <c:v>0.87133333333333296</c:v>
                </c:pt>
                <c:pt idx="3">
                  <c:v>0.872</c:v>
                </c:pt>
                <c:pt idx="4">
                  <c:v>0.87266666666666703</c:v>
                </c:pt>
                <c:pt idx="5">
                  <c:v>0.87333333333333296</c:v>
                </c:pt>
                <c:pt idx="6">
                  <c:v>0.89011111111111096</c:v>
                </c:pt>
                <c:pt idx="7">
                  <c:v>0.90688888888888897</c:v>
                </c:pt>
                <c:pt idx="8">
                  <c:v>0.92366666666666697</c:v>
                </c:pt>
                <c:pt idx="9">
                  <c:v>0.94044444444444397</c:v>
                </c:pt>
                <c:pt idx="10">
                  <c:v>0.95722222222222197</c:v>
                </c:pt>
                <c:pt idx="11">
                  <c:v>0.95788888888888901</c:v>
                </c:pt>
                <c:pt idx="12">
                  <c:v>0.95855555555555605</c:v>
                </c:pt>
                <c:pt idx="13">
                  <c:v>0.95922222222222198</c:v>
                </c:pt>
                <c:pt idx="14">
                  <c:v>0.95988888888888901</c:v>
                </c:pt>
                <c:pt idx="15">
                  <c:v>0.96055555555555605</c:v>
                </c:pt>
                <c:pt idx="16">
                  <c:v>0.96022222222222198</c:v>
                </c:pt>
                <c:pt idx="17">
                  <c:v>0.95988888888888901</c:v>
                </c:pt>
                <c:pt idx="18">
                  <c:v>0.95955555555555605</c:v>
                </c:pt>
                <c:pt idx="19">
                  <c:v>0.95922222222222198</c:v>
                </c:pt>
                <c:pt idx="20">
                  <c:v>0.95888888888888901</c:v>
                </c:pt>
                <c:pt idx="21">
                  <c:v>0.926111111111111</c:v>
                </c:pt>
                <c:pt idx="22">
                  <c:v>0.926111111111111</c:v>
                </c:pt>
                <c:pt idx="23">
                  <c:v>0.93555555555555603</c:v>
                </c:pt>
                <c:pt idx="24">
                  <c:v>0.94722222222222197</c:v>
                </c:pt>
                <c:pt idx="25">
                  <c:v>0.96833333333333305</c:v>
                </c:pt>
                <c:pt idx="26">
                  <c:v>0.98611111111111105</c:v>
                </c:pt>
                <c:pt idx="27">
                  <c:v>0.99444444444444502</c:v>
                </c:pt>
                <c:pt idx="28">
                  <c:v>0.99444444444444502</c:v>
                </c:pt>
                <c:pt idx="29">
                  <c:v>0.99444444444444502</c:v>
                </c:pt>
                <c:pt idx="30">
                  <c:v>0.99444444444444502</c:v>
                </c:pt>
              </c:numCache>
            </c:numRef>
          </c:val>
          <c:smooth val="1"/>
          <c:extLst>
            <c:ext xmlns:c16="http://schemas.microsoft.com/office/drawing/2014/chart" uri="{C3380CC4-5D6E-409C-BE32-E72D297353CC}">
              <c16:uniqueId val="{00000001-9F23-41B5-B23F-97CFD8B61B9F}"/>
            </c:ext>
          </c:extLst>
        </c:ser>
        <c:ser>
          <c:idx val="2"/>
          <c:order val="2"/>
          <c:tx>
            <c:strRef>
              <c:f>Data!$T$3</c:f>
              <c:strCache>
                <c:ptCount val="1"/>
                <c:pt idx="0">
                  <c:v>Edu Index (UK)</c:v>
                </c:pt>
              </c:strCache>
            </c:strRef>
          </c:tx>
          <c:spPr>
            <a:ln w="21960">
              <a:solidFill>
                <a:srgbClr val="375623"/>
              </a:solidFill>
              <a:round/>
            </a:ln>
          </c:spPr>
          <c:marker>
            <c:symbol val="none"/>
          </c:marker>
          <c:dLbls>
            <c:spPr>
              <a:noFill/>
              <a:ln>
                <a:noFill/>
              </a:ln>
              <a:effectLst/>
            </c:spPr>
            <c:txPr>
              <a:bodyPr wrap="none"/>
              <a:lstStyle/>
              <a:p>
                <a:pPr>
                  <a:defRPr sz="1000" b="0" strike="noStrike" spc="-1">
                    <a:latin typeface="Arial"/>
                  </a:defRPr>
                </a:pPr>
                <a:endParaRPr lang="en-US"/>
              </a:p>
            </c:txPr>
            <c:showLegendKey val="0"/>
            <c:showVal val="0"/>
            <c:showCatName val="0"/>
            <c:showSerName val="0"/>
            <c:showPercent val="0"/>
            <c:showBubbleSize val="1"/>
            <c:separator> </c:separator>
            <c:showLeaderLines val="0"/>
            <c:extLst>
              <c:ext xmlns:c15="http://schemas.microsoft.com/office/drawing/2012/chart" uri="{CE6537A1-D6FC-4f65-9D91-7224C49458BB}">
                <c15:showLeaderLines val="1"/>
              </c:ext>
            </c:extLst>
          </c:dLbls>
          <c:cat>
            <c:numRef>
              <c:f>Data!$A$4:$A$34</c:f>
              <c:numCache>
                <c:formatCode>0</c:formatCode>
                <c:ptCount val="31"/>
                <c:pt idx="0">
                  <c:v>1985</c:v>
                </c:pt>
                <c:pt idx="1">
                  <c:v>1986</c:v>
                </c:pt>
                <c:pt idx="2">
                  <c:v>1987</c:v>
                </c:pt>
                <c:pt idx="3">
                  <c:v>1988</c:v>
                </c:pt>
                <c:pt idx="4">
                  <c:v>1989</c:v>
                </c:pt>
                <c:pt idx="5">
                  <c:v>1990</c:v>
                </c:pt>
                <c:pt idx="6">
                  <c:v>1991</c:v>
                </c:pt>
                <c:pt idx="7">
                  <c:v>1992</c:v>
                </c:pt>
                <c:pt idx="8">
                  <c:v>1993</c:v>
                </c:pt>
                <c:pt idx="9">
                  <c:v>1994</c:v>
                </c:pt>
                <c:pt idx="10">
                  <c:v>1995</c:v>
                </c:pt>
                <c:pt idx="11">
                  <c:v>1996</c:v>
                </c:pt>
                <c:pt idx="12">
                  <c:v>1997</c:v>
                </c:pt>
                <c:pt idx="13">
                  <c:v>1998</c:v>
                </c:pt>
                <c:pt idx="14">
                  <c:v>1999</c:v>
                </c:pt>
                <c:pt idx="15">
                  <c:v>2000</c:v>
                </c:pt>
                <c:pt idx="16">
                  <c:v>2001</c:v>
                </c:pt>
                <c:pt idx="17">
                  <c:v>2002</c:v>
                </c:pt>
                <c:pt idx="18">
                  <c:v>2003</c:v>
                </c:pt>
                <c:pt idx="19">
                  <c:v>2004</c:v>
                </c:pt>
                <c:pt idx="20">
                  <c:v>2005</c:v>
                </c:pt>
                <c:pt idx="21">
                  <c:v>2006</c:v>
                </c:pt>
                <c:pt idx="22">
                  <c:v>2007</c:v>
                </c:pt>
                <c:pt idx="23">
                  <c:v>2008</c:v>
                </c:pt>
                <c:pt idx="24">
                  <c:v>2009</c:v>
                </c:pt>
                <c:pt idx="25">
                  <c:v>2010</c:v>
                </c:pt>
                <c:pt idx="26">
                  <c:v>2011</c:v>
                </c:pt>
                <c:pt idx="27">
                  <c:v>2012</c:v>
                </c:pt>
                <c:pt idx="28">
                  <c:v>2013</c:v>
                </c:pt>
                <c:pt idx="29">
                  <c:v>2014</c:v>
                </c:pt>
                <c:pt idx="30">
                  <c:v>2015</c:v>
                </c:pt>
              </c:numCache>
            </c:numRef>
          </c:cat>
          <c:val>
            <c:numRef>
              <c:f>Data!$T$4:$T$34</c:f>
              <c:numCache>
                <c:formatCode>0.0000</c:formatCode>
                <c:ptCount val="31"/>
                <c:pt idx="0">
                  <c:v>0.62333333333333296</c:v>
                </c:pt>
                <c:pt idx="1">
                  <c:v>0.62688888888888905</c:v>
                </c:pt>
                <c:pt idx="2">
                  <c:v>0.63044444444444503</c:v>
                </c:pt>
                <c:pt idx="3">
                  <c:v>0.63400000000000001</c:v>
                </c:pt>
                <c:pt idx="4">
                  <c:v>0.63755555555555599</c:v>
                </c:pt>
                <c:pt idx="5">
                  <c:v>0.64111111111111097</c:v>
                </c:pt>
                <c:pt idx="6">
                  <c:v>0.67166666666666697</c:v>
                </c:pt>
                <c:pt idx="7">
                  <c:v>0.70222222222222197</c:v>
                </c:pt>
                <c:pt idx="8">
                  <c:v>0.73277777777777797</c:v>
                </c:pt>
                <c:pt idx="9">
                  <c:v>0.76333333333333298</c:v>
                </c:pt>
                <c:pt idx="10">
                  <c:v>0.79388888888888898</c:v>
                </c:pt>
                <c:pt idx="11">
                  <c:v>0.80255555555555602</c:v>
                </c:pt>
                <c:pt idx="12">
                  <c:v>0.81122222222222196</c:v>
                </c:pt>
                <c:pt idx="13">
                  <c:v>0.819888888888889</c:v>
                </c:pt>
                <c:pt idx="14">
                  <c:v>0.82855555555555604</c:v>
                </c:pt>
                <c:pt idx="15">
                  <c:v>0.83722222222222198</c:v>
                </c:pt>
                <c:pt idx="16">
                  <c:v>0.84333333333333305</c:v>
                </c:pt>
                <c:pt idx="17">
                  <c:v>0.849444444444444</c:v>
                </c:pt>
                <c:pt idx="18">
                  <c:v>0.85555555555555596</c:v>
                </c:pt>
                <c:pt idx="19">
                  <c:v>0.86166666666666702</c:v>
                </c:pt>
                <c:pt idx="20">
                  <c:v>0.86777777777777798</c:v>
                </c:pt>
                <c:pt idx="21">
                  <c:v>0.85388888888888903</c:v>
                </c:pt>
                <c:pt idx="22">
                  <c:v>0.85111111111111104</c:v>
                </c:pt>
                <c:pt idx="23">
                  <c:v>0.86</c:v>
                </c:pt>
                <c:pt idx="24">
                  <c:v>0.86555555555555597</c:v>
                </c:pt>
                <c:pt idx="25">
                  <c:v>0.90333333333333299</c:v>
                </c:pt>
                <c:pt idx="26">
                  <c:v>0.88666666666666705</c:v>
                </c:pt>
                <c:pt idx="27">
                  <c:v>0.88666666666666705</c:v>
                </c:pt>
                <c:pt idx="28">
                  <c:v>0.88666666666666705</c:v>
                </c:pt>
                <c:pt idx="29">
                  <c:v>0.88666666666666705</c:v>
                </c:pt>
                <c:pt idx="30">
                  <c:v>0.88666666666666705</c:v>
                </c:pt>
              </c:numCache>
            </c:numRef>
          </c:val>
          <c:smooth val="1"/>
          <c:extLst>
            <c:ext xmlns:c16="http://schemas.microsoft.com/office/drawing/2014/chart" uri="{C3380CC4-5D6E-409C-BE32-E72D297353CC}">
              <c16:uniqueId val="{00000002-9F23-41B5-B23F-97CFD8B61B9F}"/>
            </c:ext>
          </c:extLst>
        </c:ser>
        <c:dLbls>
          <c:showLegendKey val="0"/>
          <c:showVal val="0"/>
          <c:showCatName val="0"/>
          <c:showSerName val="0"/>
          <c:showPercent val="0"/>
          <c:showBubbleSize val="0"/>
        </c:dLbls>
        <c:hiLowLines>
          <c:spPr>
            <a:ln w="0">
              <a:noFill/>
            </a:ln>
          </c:spPr>
        </c:hiLowLines>
        <c:smooth val="0"/>
        <c:axId val="18381212"/>
        <c:axId val="83842695"/>
      </c:lineChart>
      <c:catAx>
        <c:axId val="18381212"/>
        <c:scaling>
          <c:orientation val="minMax"/>
        </c:scaling>
        <c:delete val="0"/>
        <c:axPos val="b"/>
        <c:title>
          <c:tx>
            <c:rich>
              <a:bodyPr rot="0"/>
              <a:lstStyle/>
              <a:p>
                <a:pPr>
                  <a:defRPr sz="1000" b="1" strike="noStrike" spc="-1">
                    <a:solidFill>
                      <a:srgbClr val="000000"/>
                    </a:solidFill>
                    <a:latin typeface="Calibri"/>
                  </a:defRPr>
                </a:pPr>
                <a:r>
                  <a:rPr lang="en-NZ" sz="1000" b="1" strike="noStrike" spc="-1">
                    <a:solidFill>
                      <a:srgbClr val="000000"/>
                    </a:solidFill>
                    <a:latin typeface="Calibri"/>
                  </a:rPr>
                  <a:t>Year</a:t>
                </a:r>
              </a:p>
            </c:rich>
          </c:tx>
          <c:overlay val="0"/>
          <c:spPr>
            <a:noFill/>
            <a:ln w="0">
              <a:noFill/>
            </a:ln>
          </c:spPr>
        </c:title>
        <c:numFmt formatCode="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83842695"/>
        <c:crosses val="autoZero"/>
        <c:auto val="1"/>
        <c:lblAlgn val="ctr"/>
        <c:lblOffset val="100"/>
        <c:noMultiLvlLbl val="0"/>
      </c:catAx>
      <c:valAx>
        <c:axId val="83842695"/>
        <c:scaling>
          <c:orientation val="minMax"/>
        </c:scaling>
        <c:delete val="0"/>
        <c:axPos val="l"/>
        <c:majorGridlines>
          <c:spPr>
            <a:ln w="9360">
              <a:solidFill>
                <a:srgbClr val="878787"/>
              </a:solidFill>
              <a:round/>
            </a:ln>
          </c:spPr>
        </c:majorGridlines>
        <c:title>
          <c:tx>
            <c:rich>
              <a:bodyPr rot="-5400000"/>
              <a:lstStyle/>
              <a:p>
                <a:pPr>
                  <a:defRPr sz="1000" b="1" strike="noStrike" spc="-1">
                    <a:solidFill>
                      <a:srgbClr val="000000"/>
                    </a:solidFill>
                    <a:latin typeface="Calibri"/>
                  </a:defRPr>
                </a:pPr>
                <a:r>
                  <a:rPr lang="en-NZ" sz="1000" b="1" strike="noStrike" spc="-1">
                    <a:solidFill>
                      <a:srgbClr val="000000"/>
                    </a:solidFill>
                    <a:latin typeface="Calibri"/>
                  </a:rPr>
                  <a:t>Education Index (0–1)</a:t>
                </a:r>
              </a:p>
            </c:rich>
          </c:tx>
          <c:overlay val="0"/>
          <c:spPr>
            <a:noFill/>
            <a:ln w="0">
              <a:noFill/>
            </a:ln>
          </c:spPr>
        </c:title>
        <c:numFmt formatCode="0.0000" sourceLinked="1"/>
        <c:majorTickMark val="none"/>
        <c:minorTickMark val="none"/>
        <c:tickLblPos val="nextTo"/>
        <c:spPr>
          <a:ln w="9360">
            <a:solidFill>
              <a:srgbClr val="878787"/>
            </a:solidFill>
            <a:round/>
          </a:ln>
        </c:spPr>
        <c:txPr>
          <a:bodyPr/>
          <a:lstStyle/>
          <a:p>
            <a:pPr>
              <a:defRPr sz="1000" b="0" strike="noStrike" spc="-1">
                <a:solidFill>
                  <a:srgbClr val="000000"/>
                </a:solidFill>
                <a:latin typeface="Calibri"/>
              </a:defRPr>
            </a:pPr>
            <a:endParaRPr lang="en-US"/>
          </a:p>
        </c:txPr>
        <c:crossAx val="18381212"/>
        <c:crosses val="autoZero"/>
        <c:crossBetween val="between"/>
      </c:valAx>
      <c:spPr>
        <a:noFill/>
        <a:ln w="0">
          <a:noFill/>
        </a:ln>
      </c:spPr>
    </c:plotArea>
    <c:legend>
      <c:legendPos val="r"/>
      <c:overlay val="0"/>
      <c:spPr>
        <a:noFill/>
        <a:ln w="0">
          <a:noFill/>
        </a:ln>
      </c:spPr>
      <c:txPr>
        <a:bodyPr/>
        <a:lstStyle/>
        <a:p>
          <a:pPr>
            <a:defRPr sz="1000" b="0" strike="noStrike" spc="-1">
              <a:solidFill>
                <a:srgbClr val="000000"/>
              </a:solidFill>
              <a:latin typeface="Calibri"/>
            </a:defRPr>
          </a:pPr>
          <a:endParaRPr lang="en-US"/>
        </a:p>
      </c:txPr>
    </c:legend>
    <c:plotVisOnly val="1"/>
    <c:dispBlanksAs val="gap"/>
    <c:showDLblsOverMax val="1"/>
  </c:chart>
  <c:spPr>
    <a:solidFill>
      <a:srgbClr val="FFFFFF"/>
    </a:solidFill>
    <a:ln w="38100">
      <a:solidFill>
        <a:schemeClr val="tx2">
          <a:lumMod val="50000"/>
        </a:schemeClr>
      </a:solidFill>
      <a:round/>
    </a:ln>
  </c:sp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13</xdr:col>
      <xdr:colOff>571500</xdr:colOff>
      <xdr:row>26</xdr:row>
      <xdr:rowOff>107640</xdr:rowOff>
    </xdr:to>
    <xdr:graphicFrame macro="">
      <xdr:nvGraphicFramePr>
        <xdr:cNvPr id="2" name="Chart 1">
          <a:extLst>
            <a:ext uri="{FF2B5EF4-FFF2-40B4-BE49-F238E27FC236}">
              <a16:creationId xmlns:a16="http://schemas.microsoft.com/office/drawing/2014/main" id="{00000000-0008-0000-01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0</xdr:colOff>
      <xdr:row>28</xdr:row>
      <xdr:rowOff>0</xdr:rowOff>
    </xdr:from>
    <xdr:to>
      <xdr:col>13</xdr:col>
      <xdr:colOff>571500</xdr:colOff>
      <xdr:row>52</xdr:row>
      <xdr:rowOff>107640</xdr:rowOff>
    </xdr:to>
    <xdr:graphicFrame macro="">
      <xdr:nvGraphicFramePr>
        <xdr:cNvPr id="3" name="Chart 2">
          <a:extLst>
            <a:ext uri="{FF2B5EF4-FFF2-40B4-BE49-F238E27FC236}">
              <a16:creationId xmlns:a16="http://schemas.microsoft.com/office/drawing/2014/main" id="{00000000-0008-0000-01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0</xdr:colOff>
      <xdr:row>54</xdr:row>
      <xdr:rowOff>0</xdr:rowOff>
    </xdr:from>
    <xdr:to>
      <xdr:col>13</xdr:col>
      <xdr:colOff>571500</xdr:colOff>
      <xdr:row>78</xdr:row>
      <xdr:rowOff>107640</xdr:rowOff>
    </xdr:to>
    <xdr:graphicFrame macro="">
      <xdr:nvGraphicFramePr>
        <xdr:cNvPr id="4" name="Chart 3">
          <a:extLst>
            <a:ext uri="{FF2B5EF4-FFF2-40B4-BE49-F238E27FC236}">
              <a16:creationId xmlns:a16="http://schemas.microsoft.com/office/drawing/2014/main" id="{00000000-0008-0000-0100-00000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15</xdr:col>
      <xdr:colOff>0</xdr:colOff>
      <xdr:row>2</xdr:row>
      <xdr:rowOff>0</xdr:rowOff>
    </xdr:from>
    <xdr:to>
      <xdr:col>29</xdr:col>
      <xdr:colOff>0</xdr:colOff>
      <xdr:row>26</xdr:row>
      <xdr:rowOff>107640</xdr:rowOff>
    </xdr:to>
    <xdr:graphicFrame macro="">
      <xdr:nvGraphicFramePr>
        <xdr:cNvPr id="5" name="Chart 1">
          <a:extLst>
            <a:ext uri="{FF2B5EF4-FFF2-40B4-BE49-F238E27FC236}">
              <a16:creationId xmlns:a16="http://schemas.microsoft.com/office/drawing/2014/main" id="{E33500D4-D4CD-4A7D-8AAF-F364C0BF12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15</xdr:col>
      <xdr:colOff>0</xdr:colOff>
      <xdr:row>28</xdr:row>
      <xdr:rowOff>0</xdr:rowOff>
    </xdr:from>
    <xdr:to>
      <xdr:col>29</xdr:col>
      <xdr:colOff>0</xdr:colOff>
      <xdr:row>52</xdr:row>
      <xdr:rowOff>107640</xdr:rowOff>
    </xdr:to>
    <xdr:graphicFrame macro="">
      <xdr:nvGraphicFramePr>
        <xdr:cNvPr id="6" name="Chart 2">
          <a:extLst>
            <a:ext uri="{FF2B5EF4-FFF2-40B4-BE49-F238E27FC236}">
              <a16:creationId xmlns:a16="http://schemas.microsoft.com/office/drawing/2014/main" id="{0970138C-BC57-444B-9A67-2DA87BA6A0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15</xdr:col>
      <xdr:colOff>0</xdr:colOff>
      <xdr:row>54</xdr:row>
      <xdr:rowOff>0</xdr:rowOff>
    </xdr:from>
    <xdr:to>
      <xdr:col>28</xdr:col>
      <xdr:colOff>571500</xdr:colOff>
      <xdr:row>78</xdr:row>
      <xdr:rowOff>107640</xdr:rowOff>
    </xdr:to>
    <xdr:graphicFrame macro="">
      <xdr:nvGraphicFramePr>
        <xdr:cNvPr id="7" name="Chart 3">
          <a:extLst>
            <a:ext uri="{FF2B5EF4-FFF2-40B4-BE49-F238E27FC236}">
              <a16:creationId xmlns:a16="http://schemas.microsoft.com/office/drawing/2014/main" id="{E886DD23-1E7B-44AE-9601-A9EA909412A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30</xdr:col>
      <xdr:colOff>0</xdr:colOff>
      <xdr:row>2</xdr:row>
      <xdr:rowOff>0</xdr:rowOff>
    </xdr:from>
    <xdr:to>
      <xdr:col>44</xdr:col>
      <xdr:colOff>7065</xdr:colOff>
      <xdr:row>26</xdr:row>
      <xdr:rowOff>107640</xdr:rowOff>
    </xdr:to>
    <xdr:graphicFrame macro="">
      <xdr:nvGraphicFramePr>
        <xdr:cNvPr id="8" name="Chart 1">
          <a:extLst>
            <a:ext uri="{FF2B5EF4-FFF2-40B4-BE49-F238E27FC236}">
              <a16:creationId xmlns:a16="http://schemas.microsoft.com/office/drawing/2014/main" id="{9392C0D6-CB52-4382-B649-DF563F055E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30</xdr:col>
      <xdr:colOff>0</xdr:colOff>
      <xdr:row>28</xdr:row>
      <xdr:rowOff>0</xdr:rowOff>
    </xdr:from>
    <xdr:to>
      <xdr:col>43</xdr:col>
      <xdr:colOff>571500</xdr:colOff>
      <xdr:row>52</xdr:row>
      <xdr:rowOff>107640</xdr:rowOff>
    </xdr:to>
    <xdr:graphicFrame macro="">
      <xdr:nvGraphicFramePr>
        <xdr:cNvPr id="9" name="Chart 2">
          <a:extLst>
            <a:ext uri="{FF2B5EF4-FFF2-40B4-BE49-F238E27FC236}">
              <a16:creationId xmlns:a16="http://schemas.microsoft.com/office/drawing/2014/main" id="{65F4A1D3-4001-4E49-BCBC-C03EEE8CA3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30</xdr:col>
      <xdr:colOff>0</xdr:colOff>
      <xdr:row>54</xdr:row>
      <xdr:rowOff>0</xdr:rowOff>
    </xdr:from>
    <xdr:to>
      <xdr:col>44</xdr:col>
      <xdr:colOff>9525</xdr:colOff>
      <xdr:row>78</xdr:row>
      <xdr:rowOff>107640</xdr:rowOff>
    </xdr:to>
    <xdr:graphicFrame macro="">
      <xdr:nvGraphicFramePr>
        <xdr:cNvPr id="10" name="Chart 3">
          <a:extLst>
            <a:ext uri="{FF2B5EF4-FFF2-40B4-BE49-F238E27FC236}">
              <a16:creationId xmlns:a16="http://schemas.microsoft.com/office/drawing/2014/main" id="{93A5F396-1374-49FB-800D-CBC03BCF9C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30</xdr:col>
      <xdr:colOff>0</xdr:colOff>
      <xdr:row>80</xdr:row>
      <xdr:rowOff>0</xdr:rowOff>
    </xdr:from>
    <xdr:to>
      <xdr:col>44</xdr:col>
      <xdr:colOff>19050</xdr:colOff>
      <xdr:row>104</xdr:row>
      <xdr:rowOff>107640</xdr:rowOff>
    </xdr:to>
    <xdr:graphicFrame macro="">
      <xdr:nvGraphicFramePr>
        <xdr:cNvPr id="11" name="Chart 4">
          <a:extLst>
            <a:ext uri="{FF2B5EF4-FFF2-40B4-BE49-F238E27FC236}">
              <a16:creationId xmlns:a16="http://schemas.microsoft.com/office/drawing/2014/main" id="{20F96E62-8CFA-4434-A315-F51945DDDF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1"/>
  </sheetPr>
  <dimension ref="A1:V35"/>
  <sheetViews>
    <sheetView showGridLines="0" zoomScaleNormal="100" workbookViewId="0">
      <pane xSplit="1" ySplit="3" topLeftCell="B4" activePane="bottomRight" state="frozen"/>
      <selection pane="topRight" activeCell="B1" sqref="B1"/>
      <selection pane="bottomLeft" activeCell="A4" sqref="A4"/>
      <selection pane="bottomRight" activeCell="D15" sqref="A1:V34"/>
    </sheetView>
  </sheetViews>
  <sheetFormatPr defaultColWidth="8.7109375" defaultRowHeight="13.5" x14ac:dyDescent="0.25"/>
  <cols>
    <col min="1" max="1" width="8" style="43" customWidth="1"/>
    <col min="2" max="2" width="10" style="43" customWidth="1"/>
    <col min="3" max="3" width="12" style="43" customWidth="1"/>
    <col min="4" max="4" width="14" style="43" customWidth="1"/>
    <col min="5" max="5" width="13" style="43" customWidth="1"/>
    <col min="6" max="6" width="12" style="43" customWidth="1"/>
    <col min="7" max="8" width="11" style="43" customWidth="1"/>
    <col min="9" max="9" width="10" style="43" customWidth="1"/>
    <col min="10" max="10" width="12" style="43" customWidth="1"/>
    <col min="11" max="11" width="14" style="43" customWidth="1"/>
    <col min="12" max="12" width="13" style="43" customWidth="1"/>
    <col min="13" max="13" width="12" style="43" customWidth="1"/>
    <col min="14" max="15" width="11" style="43" customWidth="1"/>
    <col min="16" max="16" width="10" style="43" customWidth="1"/>
    <col min="17" max="17" width="12" style="43" customWidth="1"/>
    <col min="18" max="18" width="14" style="43" customWidth="1"/>
    <col min="19" max="19" width="13" style="43" customWidth="1"/>
    <col min="20" max="20" width="12" style="43" customWidth="1"/>
    <col min="21" max="22" width="11" style="43" customWidth="1"/>
    <col min="23" max="16384" width="8.7109375" style="43"/>
  </cols>
  <sheetData>
    <row r="1" spans="1:22" ht="25.5" customHeight="1" thickBot="1" x14ac:dyDescent="0.3">
      <c r="A1" s="45" t="s">
        <v>0</v>
      </c>
      <c r="B1" s="45"/>
      <c r="C1" s="45"/>
      <c r="D1" s="45"/>
      <c r="E1" s="45"/>
      <c r="F1" s="45"/>
      <c r="G1" s="45"/>
      <c r="H1" s="45"/>
      <c r="I1" s="45"/>
      <c r="J1" s="45"/>
      <c r="K1" s="45"/>
      <c r="L1" s="45"/>
      <c r="M1" s="45"/>
      <c r="N1" s="45"/>
      <c r="O1" s="45"/>
      <c r="P1" s="45"/>
      <c r="Q1" s="45"/>
      <c r="R1" s="45"/>
      <c r="S1" s="45"/>
      <c r="T1" s="45"/>
      <c r="U1" s="45"/>
      <c r="V1" s="45"/>
    </row>
    <row r="2" spans="1:22" ht="21.75" customHeight="1" x14ac:dyDescent="0.25">
      <c r="A2" s="46" t="s">
        <v>1</v>
      </c>
      <c r="B2" s="47" t="s">
        <v>2</v>
      </c>
      <c r="C2" s="48"/>
      <c r="D2" s="48"/>
      <c r="E2" s="48"/>
      <c r="F2" s="48"/>
      <c r="G2" s="48"/>
      <c r="H2" s="49"/>
      <c r="I2" s="47" t="s">
        <v>3</v>
      </c>
      <c r="J2" s="48"/>
      <c r="K2" s="48"/>
      <c r="L2" s="48"/>
      <c r="M2" s="48"/>
      <c r="N2" s="48"/>
      <c r="O2" s="49"/>
      <c r="P2" s="47" t="s">
        <v>4</v>
      </c>
      <c r="Q2" s="48"/>
      <c r="R2" s="48"/>
      <c r="S2" s="48"/>
      <c r="T2" s="48"/>
      <c r="U2" s="48"/>
      <c r="V2" s="49"/>
    </row>
    <row r="3" spans="1:22" ht="30" customHeight="1" x14ac:dyDescent="0.25">
      <c r="B3" s="22" t="s">
        <v>46</v>
      </c>
      <c r="C3" s="13" t="s">
        <v>47</v>
      </c>
      <c r="D3" s="13" t="s">
        <v>48</v>
      </c>
      <c r="E3" s="13" t="s">
        <v>49</v>
      </c>
      <c r="F3" s="13" t="s">
        <v>50</v>
      </c>
      <c r="G3" s="13" t="s">
        <v>51</v>
      </c>
      <c r="H3" s="23" t="s">
        <v>52</v>
      </c>
      <c r="I3" s="22" t="s">
        <v>53</v>
      </c>
      <c r="J3" s="13" t="s">
        <v>54</v>
      </c>
      <c r="K3" s="13" t="s">
        <v>55</v>
      </c>
      <c r="L3" s="13" t="s">
        <v>56</v>
      </c>
      <c r="M3" s="13" t="s">
        <v>57</v>
      </c>
      <c r="N3" s="13" t="s">
        <v>58</v>
      </c>
      <c r="O3" s="23" t="s">
        <v>59</v>
      </c>
      <c r="P3" s="22" t="s">
        <v>60</v>
      </c>
      <c r="Q3" s="13" t="s">
        <v>61</v>
      </c>
      <c r="R3" s="13" t="s">
        <v>62</v>
      </c>
      <c r="S3" s="13" t="s">
        <v>63</v>
      </c>
      <c r="T3" s="13" t="s">
        <v>64</v>
      </c>
      <c r="U3" s="13" t="s">
        <v>65</v>
      </c>
      <c r="V3" s="23" t="s">
        <v>66</v>
      </c>
    </row>
    <row r="4" spans="1:22" x14ac:dyDescent="0.25">
      <c r="A4" s="24">
        <v>1985</v>
      </c>
      <c r="B4" s="25">
        <v>3.4483081999999998E-2</v>
      </c>
      <c r="C4" s="5">
        <v>1.6149793624204298E-2</v>
      </c>
      <c r="D4" s="5">
        <v>9.8909793368449107E-3</v>
      </c>
      <c r="E4" s="26">
        <f t="shared" ref="E4:E34" si="0">(G4-20)/65</f>
        <v>-0.30704087935798818</v>
      </c>
      <c r="F4" s="27">
        <v>0.77333333333333298</v>
      </c>
      <c r="G4" s="28">
        <f>AVERAGE(B4:B34)</f>
        <v>4.2342841730769229E-2</v>
      </c>
      <c r="H4" s="29">
        <v>73.829268292682897</v>
      </c>
      <c r="I4" s="25">
        <v>4.0567764999999999E-2</v>
      </c>
      <c r="J4" s="5">
        <v>5.2494805114085899E-2</v>
      </c>
      <c r="K4" s="5">
        <v>3.3304483292118797E-2</v>
      </c>
      <c r="L4" s="26">
        <f t="shared" ref="L4:L33" si="1">(N4-20)/65</f>
        <v>-0.30724288979585795</v>
      </c>
      <c r="M4" s="27">
        <v>0.87</v>
      </c>
      <c r="N4" s="28">
        <f>AVERAGE(I4:I29)</f>
        <v>2.9212163269230776E-2</v>
      </c>
      <c r="O4" s="29">
        <v>75.629268292682895</v>
      </c>
      <c r="P4" s="25">
        <v>6.4062674E-2</v>
      </c>
      <c r="Q4" s="5">
        <v>4.1873056551593603E-2</v>
      </c>
      <c r="R4" s="5">
        <v>3.8903555485315197E-2</v>
      </c>
      <c r="S4" s="26">
        <f t="shared" ref="S4:S33" si="2">(U4-20)/65</f>
        <v>-0.3070620570739645</v>
      </c>
      <c r="T4" s="27">
        <v>0.62333333333333296</v>
      </c>
      <c r="U4" s="28">
        <f>AVERAGE(P4:P29)</f>
        <v>4.0966290192307693E-2</v>
      </c>
      <c r="V4" s="29">
        <v>74.629268292682895</v>
      </c>
    </row>
    <row r="5" spans="1:22" x14ac:dyDescent="0.25">
      <c r="A5" s="30">
        <v>1986</v>
      </c>
      <c r="B5" s="31">
        <v>2.8720197999999999E-2</v>
      </c>
      <c r="C5" s="9">
        <v>2.7056582510303299E-2</v>
      </c>
      <c r="D5" s="9">
        <v>2.7309684585283701E-2</v>
      </c>
      <c r="E5" s="32">
        <f t="shared" si="0"/>
        <v>-0.30704087935798818</v>
      </c>
      <c r="F5" s="33">
        <v>0.77722222222222204</v>
      </c>
      <c r="G5" s="34">
        <f>AVERAGE(B4:B29)</f>
        <v>4.2342841730769229E-2</v>
      </c>
      <c r="H5" s="35">
        <v>74.121951219512198</v>
      </c>
      <c r="I5" s="31">
        <v>2.7576557000000002E-2</v>
      </c>
      <c r="J5" s="9">
        <v>4.1015278981464898E-2</v>
      </c>
      <c r="K5" s="9">
        <v>2.30792931767934E-2</v>
      </c>
      <c r="L5" s="32">
        <f t="shared" si="1"/>
        <v>-0.30724288979585795</v>
      </c>
      <c r="M5" s="33">
        <v>0.87066666666666703</v>
      </c>
      <c r="N5" s="34">
        <f>AVERAGE(I4:I29)</f>
        <v>2.9212163269230776E-2</v>
      </c>
      <c r="O5" s="35">
        <v>75.870731707317105</v>
      </c>
      <c r="P5" s="31">
        <v>4.4936697999999997E-2</v>
      </c>
      <c r="Q5" s="9">
        <v>3.1532520728592701E-2</v>
      </c>
      <c r="R5" s="9">
        <v>2.9741951594830899E-2</v>
      </c>
      <c r="S5" s="32">
        <f t="shared" si="2"/>
        <v>-0.3070620570739645</v>
      </c>
      <c r="T5" s="33">
        <v>0.62688888888888905</v>
      </c>
      <c r="U5" s="34">
        <f>AVERAGE(P4:P29)</f>
        <v>4.0966290192307693E-2</v>
      </c>
      <c r="V5" s="35">
        <v>74.929268292683005</v>
      </c>
    </row>
    <row r="6" spans="1:22" x14ac:dyDescent="0.25">
      <c r="A6" s="24">
        <v>1987</v>
      </c>
      <c r="B6" s="25">
        <v>3.4538795999999997E-2</v>
      </c>
      <c r="C6" s="5">
        <v>9.5916665470187502E-3</v>
      </c>
      <c r="D6" s="5">
        <v>9.27628607252586E-4</v>
      </c>
      <c r="E6" s="26">
        <f t="shared" si="0"/>
        <v>-0.30704087935798818</v>
      </c>
      <c r="F6" s="27">
        <v>0.78111111111111098</v>
      </c>
      <c r="G6" s="28">
        <f>AVERAGE(B4:B29)</f>
        <v>4.2342841730769229E-2</v>
      </c>
      <c r="H6" s="29">
        <v>74.178048780487799</v>
      </c>
      <c r="I6" s="25">
        <v>2.9972722E-2</v>
      </c>
      <c r="J6" s="5">
        <v>2.5744927136275499E-2</v>
      </c>
      <c r="K6" s="5">
        <v>9.44862582282497E-3</v>
      </c>
      <c r="L6" s="26">
        <f t="shared" si="1"/>
        <v>-0.30724288979585795</v>
      </c>
      <c r="M6" s="27">
        <v>0.87133333333333296</v>
      </c>
      <c r="N6" s="28">
        <f>AVERAGE(I4:I29)</f>
        <v>2.9212163269230776E-2</v>
      </c>
      <c r="O6" s="29">
        <v>76.151707317073203</v>
      </c>
      <c r="P6" s="25">
        <v>4.5595472999999997E-2</v>
      </c>
      <c r="Q6" s="5">
        <v>5.3594846585044001E-2</v>
      </c>
      <c r="R6" s="5">
        <v>5.1115137056597898E-2</v>
      </c>
      <c r="S6" s="26">
        <f t="shared" si="2"/>
        <v>-0.3070620570739645</v>
      </c>
      <c r="T6" s="27">
        <v>0.63044444444444503</v>
      </c>
      <c r="U6" s="28">
        <f>AVERAGE(P4:P29)</f>
        <v>4.0966290192307693E-2</v>
      </c>
      <c r="V6" s="29">
        <v>75.280487804878106</v>
      </c>
    </row>
    <row r="7" spans="1:22" x14ac:dyDescent="0.25">
      <c r="A7" s="30">
        <v>1988</v>
      </c>
      <c r="B7" s="31">
        <v>3.645719E-2</v>
      </c>
      <c r="C7" s="9">
        <v>-3.4539433481123199E-3</v>
      </c>
      <c r="D7" s="9">
        <v>-6.1855369735820901E-3</v>
      </c>
      <c r="E7" s="32">
        <f t="shared" si="0"/>
        <v>-0.30704087935798818</v>
      </c>
      <c r="F7" s="33">
        <v>0.78500000000000003</v>
      </c>
      <c r="G7" s="34">
        <f>AVERAGE(B4:B29)</f>
        <v>4.2342841730769229E-2</v>
      </c>
      <c r="H7" s="35">
        <v>74.424390243902394</v>
      </c>
      <c r="I7" s="31">
        <v>2.8792076999999999E-2</v>
      </c>
      <c r="J7" s="9">
        <v>5.7690381847342001E-2</v>
      </c>
      <c r="K7" s="9">
        <v>3.91841744356047E-2</v>
      </c>
      <c r="L7" s="32">
        <f t="shared" si="1"/>
        <v>-0.30724288979585795</v>
      </c>
      <c r="M7" s="33">
        <v>0.872</v>
      </c>
      <c r="N7" s="34">
        <f>AVERAGE(I4:I29)</f>
        <v>2.9212163269230776E-2</v>
      </c>
      <c r="O7" s="35">
        <v>76.432682926829301</v>
      </c>
      <c r="P7" s="31">
        <v>4.0530898000000003E-2</v>
      </c>
      <c r="Q7" s="9">
        <v>5.78739995952742E-2</v>
      </c>
      <c r="R7" s="9">
        <v>5.5670676120472502E-2</v>
      </c>
      <c r="S7" s="32">
        <f t="shared" si="2"/>
        <v>-0.3070620570739645</v>
      </c>
      <c r="T7" s="33">
        <v>0.63400000000000001</v>
      </c>
      <c r="U7" s="34">
        <f>AVERAGE(P4:P29)</f>
        <v>4.0966290192307693E-2</v>
      </c>
      <c r="V7" s="35">
        <v>75.380487804878101</v>
      </c>
    </row>
    <row r="8" spans="1:22" x14ac:dyDescent="0.25">
      <c r="A8" s="24">
        <v>1989</v>
      </c>
      <c r="B8" s="25">
        <v>3.5570015000000003E-2</v>
      </c>
      <c r="C8" s="5">
        <v>1.55216537770372E-3</v>
      </c>
      <c r="D8" s="5">
        <v>-3.2443077712315501E-3</v>
      </c>
      <c r="E8" s="26">
        <f t="shared" si="0"/>
        <v>-0.30704087935798818</v>
      </c>
      <c r="F8" s="27">
        <v>0.78888888888888897</v>
      </c>
      <c r="G8" s="28">
        <f>AVERAGE(B4:B29)</f>
        <v>4.2342841730769229E-2</v>
      </c>
      <c r="H8" s="29">
        <v>74.8243902439024</v>
      </c>
      <c r="I8" s="25">
        <v>3.0243045E-2</v>
      </c>
      <c r="J8" s="5">
        <v>3.8787000059352601E-2</v>
      </c>
      <c r="K8" s="5">
        <v>1.5007803254688401E-2</v>
      </c>
      <c r="L8" s="26">
        <f t="shared" si="1"/>
        <v>-0.30724288979585795</v>
      </c>
      <c r="M8" s="27">
        <v>0.87266666666666703</v>
      </c>
      <c r="N8" s="28">
        <f>AVERAGE(I4:I29)</f>
        <v>2.9212163269230776E-2</v>
      </c>
      <c r="O8" s="29">
        <v>76.713658536585399</v>
      </c>
      <c r="P8" s="25">
        <v>4.1978411E-2</v>
      </c>
      <c r="Q8" s="5">
        <v>2.5828950669910099E-2</v>
      </c>
      <c r="R8" s="5">
        <v>2.2882668864362601E-2</v>
      </c>
      <c r="S8" s="26">
        <f t="shared" si="2"/>
        <v>-0.3070620570739645</v>
      </c>
      <c r="T8" s="27">
        <v>0.63755555555555599</v>
      </c>
      <c r="U8" s="28">
        <f>AVERAGE(P4:P29)</f>
        <v>4.0966290192307693E-2</v>
      </c>
      <c r="V8" s="29">
        <v>75.582926829268303</v>
      </c>
    </row>
    <row r="9" spans="1:22" x14ac:dyDescent="0.25">
      <c r="A9" s="30">
        <v>1990</v>
      </c>
      <c r="B9" s="31">
        <v>4.2906918000000002E-2</v>
      </c>
      <c r="C9" s="9">
        <v>1.3648455016812E-3</v>
      </c>
      <c r="D9" s="9">
        <v>-7.8374382007487496E-3</v>
      </c>
      <c r="E9" s="32">
        <f t="shared" si="0"/>
        <v>-0.30704087935798818</v>
      </c>
      <c r="F9" s="33">
        <v>0.79277777777777803</v>
      </c>
      <c r="G9" s="34">
        <f>AVERAGE(B4:B29)</f>
        <v>4.2342841730769229E-2</v>
      </c>
      <c r="H9" s="35">
        <v>75.378048780487802</v>
      </c>
      <c r="I9" s="31">
        <v>3.5428169000000002E-2</v>
      </c>
      <c r="J9" s="9">
        <v>3.5291348844549202E-2</v>
      </c>
      <c r="K9" s="9">
        <v>1.41119099473244E-2</v>
      </c>
      <c r="L9" s="32">
        <f t="shared" si="1"/>
        <v>-0.30724288979585795</v>
      </c>
      <c r="M9" s="33">
        <v>0.87333333333333296</v>
      </c>
      <c r="N9" s="34">
        <f>AVERAGE(I4:I29)</f>
        <v>2.9212163269230776E-2</v>
      </c>
      <c r="O9" s="35">
        <v>76.994634146341497</v>
      </c>
      <c r="P9" s="31">
        <v>4.3719076000000003E-2</v>
      </c>
      <c r="Q9" s="9">
        <v>7.1688296281872997E-3</v>
      </c>
      <c r="R9" s="9">
        <v>3.7816040874294301E-3</v>
      </c>
      <c r="S9" s="32">
        <f t="shared" si="2"/>
        <v>-0.3070620570739645</v>
      </c>
      <c r="T9" s="33">
        <v>0.64111111111111097</v>
      </c>
      <c r="U9" s="34">
        <f>AVERAGE(P4:P29)</f>
        <v>4.0966290192307693E-2</v>
      </c>
      <c r="V9" s="35">
        <v>75.880487804878101</v>
      </c>
    </row>
    <row r="10" spans="1:22" x14ac:dyDescent="0.25">
      <c r="A10" s="24">
        <v>1991</v>
      </c>
      <c r="B10" s="25">
        <v>4.1330082999999997E-2</v>
      </c>
      <c r="C10" s="5">
        <v>-1.08774988874848E-2</v>
      </c>
      <c r="D10" s="5">
        <v>-5.7657834052114901E-2</v>
      </c>
      <c r="E10" s="26">
        <f t="shared" si="0"/>
        <v>-0.30704087935798818</v>
      </c>
      <c r="F10" s="27">
        <v>0.80688888888888899</v>
      </c>
      <c r="G10" s="28">
        <f>AVERAGE(B4:B29)</f>
        <v>4.2342841730769229E-2</v>
      </c>
      <c r="H10" s="29">
        <v>76.031707317073199</v>
      </c>
      <c r="I10" s="25">
        <v>3.2890838999999998E-2</v>
      </c>
      <c r="J10" s="5">
        <v>-3.79883393800185E-3</v>
      </c>
      <c r="K10" s="5">
        <v>-1.6898180457073399E-2</v>
      </c>
      <c r="L10" s="26">
        <f t="shared" si="1"/>
        <v>-0.30724288979585795</v>
      </c>
      <c r="M10" s="27">
        <v>0.89011111111111096</v>
      </c>
      <c r="N10" s="28">
        <f>AVERAGE(I4:I29)</f>
        <v>2.9212163269230776E-2</v>
      </c>
      <c r="O10" s="29">
        <v>77.275609756097595</v>
      </c>
      <c r="P10" s="25">
        <v>3.9474292000000001E-2</v>
      </c>
      <c r="Q10" s="5">
        <v>-1.11898405289487E-2</v>
      </c>
      <c r="R10" s="5">
        <v>-1.411523825055E-2</v>
      </c>
      <c r="S10" s="26">
        <f t="shared" si="2"/>
        <v>-0.3070620570739645</v>
      </c>
      <c r="T10" s="27">
        <v>0.67166666666666697</v>
      </c>
      <c r="U10" s="28">
        <f>AVERAGE(P4:P29)</f>
        <v>4.0966290192307693E-2</v>
      </c>
      <c r="V10" s="29">
        <v>76.082926829268303</v>
      </c>
    </row>
    <row r="11" spans="1:22" x14ac:dyDescent="0.25">
      <c r="A11" s="30">
        <v>1992</v>
      </c>
      <c r="B11" s="31">
        <v>3.8838103999999998E-2</v>
      </c>
      <c r="C11" s="9">
        <v>1.11660327812382E-2</v>
      </c>
      <c r="D11" s="9">
        <v>6.8703490491998302E-4</v>
      </c>
      <c r="E11" s="32">
        <f t="shared" si="0"/>
        <v>-0.30704087935798818</v>
      </c>
      <c r="F11" s="33">
        <v>0.82099999999999995</v>
      </c>
      <c r="G11" s="34">
        <f>AVERAGE(B4:B29)</f>
        <v>4.2342841730769229E-2</v>
      </c>
      <c r="H11" s="35">
        <v>76.124390243902496</v>
      </c>
      <c r="I11" s="31">
        <v>2.8840162999999999E-2</v>
      </c>
      <c r="J11" s="9">
        <v>3.9900703307603202E-3</v>
      </c>
      <c r="K11" s="9">
        <v>-1.46088044927438E-3</v>
      </c>
      <c r="L11" s="32">
        <f t="shared" si="1"/>
        <v>-0.30724288979585795</v>
      </c>
      <c r="M11" s="33">
        <v>0.90688888888888897</v>
      </c>
      <c r="N11" s="34">
        <f>AVERAGE(I4:I29)</f>
        <v>2.9212163269230776E-2</v>
      </c>
      <c r="O11" s="35">
        <v>77.378048780487802</v>
      </c>
      <c r="P11" s="31">
        <v>3.7036527999999999E-2</v>
      </c>
      <c r="Q11" s="9">
        <v>3.5987241549750599E-3</v>
      </c>
      <c r="R11" s="9">
        <v>1.41746334940791E-3</v>
      </c>
      <c r="S11" s="32">
        <f t="shared" si="2"/>
        <v>-0.3070620570739645</v>
      </c>
      <c r="T11" s="33">
        <v>0.70222222222222197</v>
      </c>
      <c r="U11" s="34">
        <f>AVERAGE(P4:P29)</f>
        <v>4.0966290192307693E-2</v>
      </c>
      <c r="V11" s="35">
        <v>76.434146341463403</v>
      </c>
    </row>
    <row r="12" spans="1:22" x14ac:dyDescent="0.25">
      <c r="A12" s="24">
        <v>1993</v>
      </c>
      <c r="B12" s="25">
        <v>3.6008219000000001E-2</v>
      </c>
      <c r="C12" s="5">
        <v>6.41638825463373E-2</v>
      </c>
      <c r="D12" s="5">
        <v>5.2098870160936998E-2</v>
      </c>
      <c r="E12" s="26">
        <f t="shared" si="0"/>
        <v>-0.30704087935798818</v>
      </c>
      <c r="F12" s="27">
        <v>0.83511111111111103</v>
      </c>
      <c r="G12" s="28">
        <f>AVERAGE(B4:B29)</f>
        <v>4.2342841730769229E-2</v>
      </c>
      <c r="H12" s="29">
        <v>76.434146341463403</v>
      </c>
      <c r="I12" s="25">
        <v>2.5682264E-2</v>
      </c>
      <c r="J12" s="5">
        <v>4.0601347685168702E-2</v>
      </c>
      <c r="K12" s="5">
        <v>3.5520168023493601E-2</v>
      </c>
      <c r="L12" s="26">
        <f t="shared" si="1"/>
        <v>-0.30724288979585795</v>
      </c>
      <c r="M12" s="27">
        <v>0.92366666666666697</v>
      </c>
      <c r="N12" s="28">
        <f>AVERAGE(I4:I29)</f>
        <v>2.9212163269230776E-2</v>
      </c>
      <c r="O12" s="29">
        <v>77.878048780487802</v>
      </c>
      <c r="P12" s="25">
        <v>3.4859117000000002E-2</v>
      </c>
      <c r="Q12" s="5">
        <v>2.50701367525181E-2</v>
      </c>
      <c r="R12" s="5">
        <v>2.2429123912483799E-2</v>
      </c>
      <c r="S12" s="26">
        <f t="shared" si="2"/>
        <v>-0.3070620570739645</v>
      </c>
      <c r="T12" s="27">
        <v>0.73277777777777797</v>
      </c>
      <c r="U12" s="28">
        <f>AVERAGE(P4:P29)</f>
        <v>4.0966290192307693E-2</v>
      </c>
      <c r="V12" s="29">
        <v>76.385365853658499</v>
      </c>
    </row>
    <row r="13" spans="1:22" x14ac:dyDescent="0.25">
      <c r="A13" s="30">
        <v>1994</v>
      </c>
      <c r="B13" s="31">
        <v>3.8469769000000001E-2</v>
      </c>
      <c r="C13" s="9">
        <v>5.1083130566602797E-2</v>
      </c>
      <c r="D13" s="9">
        <v>3.7204187571828598E-2</v>
      </c>
      <c r="E13" s="32">
        <f t="shared" si="0"/>
        <v>-0.30704087935798818</v>
      </c>
      <c r="F13" s="33">
        <v>0.84922222222222199</v>
      </c>
      <c r="G13" s="34">
        <f>AVERAGE(B4:B29)</f>
        <v>4.2342841730769229E-2</v>
      </c>
      <c r="H13" s="35">
        <v>76.8829268292683</v>
      </c>
      <c r="I13" s="31">
        <v>2.4404142E-2</v>
      </c>
      <c r="J13" s="9">
        <v>4.03794657229683E-2</v>
      </c>
      <c r="K13" s="9">
        <v>3.0104532173133001E-2</v>
      </c>
      <c r="L13" s="32">
        <f t="shared" si="1"/>
        <v>-0.30724288979585795</v>
      </c>
      <c r="M13" s="33">
        <v>0.94044444444444397</v>
      </c>
      <c r="N13" s="34">
        <f>AVERAGE(I4:I29)</f>
        <v>2.9212163269230776E-2</v>
      </c>
      <c r="O13" s="35">
        <v>77.878048780487802</v>
      </c>
      <c r="P13" s="31">
        <v>3.2440838999999999E-2</v>
      </c>
      <c r="Q13" s="9">
        <v>3.8850747754034701E-2</v>
      </c>
      <c r="R13" s="9">
        <v>3.68834460607343E-2</v>
      </c>
      <c r="S13" s="32">
        <f t="shared" si="2"/>
        <v>-0.3070620570739645</v>
      </c>
      <c r="T13" s="33">
        <v>0.76333333333333298</v>
      </c>
      <c r="U13" s="34">
        <f>AVERAGE(P4:P29)</f>
        <v>4.0966290192307693E-2</v>
      </c>
      <c r="V13" s="35">
        <v>76.885365853658499</v>
      </c>
    </row>
    <row r="14" spans="1:22" x14ac:dyDescent="0.25">
      <c r="A14" s="24">
        <v>1995</v>
      </c>
      <c r="B14" s="25">
        <v>4.2683688999999997E-2</v>
      </c>
      <c r="C14" s="5">
        <v>4.5920092095193203E-2</v>
      </c>
      <c r="D14" s="5">
        <v>3.07156131607229E-2</v>
      </c>
      <c r="E14" s="26">
        <f t="shared" si="0"/>
        <v>-0.30704087935798818</v>
      </c>
      <c r="F14" s="27">
        <v>0.86333333333333295</v>
      </c>
      <c r="G14" s="28">
        <f>AVERAGE(B4:B29)</f>
        <v>4.2342841730769229E-2</v>
      </c>
      <c r="H14" s="29">
        <v>76.734146341463401</v>
      </c>
      <c r="I14" s="25">
        <v>2.4847681E-2</v>
      </c>
      <c r="J14" s="5">
        <v>3.87904043958818E-2</v>
      </c>
      <c r="K14" s="5">
        <v>2.06281220142428E-2</v>
      </c>
      <c r="L14" s="26">
        <f t="shared" si="1"/>
        <v>-0.30724288979585795</v>
      </c>
      <c r="M14" s="27">
        <v>0.95722222222222197</v>
      </c>
      <c r="N14" s="28">
        <f>AVERAGE(I4:I29)</f>
        <v>2.9212163269230776E-2</v>
      </c>
      <c r="O14" s="29">
        <v>77.829268292682897</v>
      </c>
      <c r="P14" s="25">
        <v>3.2254313999999999E-2</v>
      </c>
      <c r="Q14" s="5">
        <v>2.50637285243695E-2</v>
      </c>
      <c r="R14" s="5">
        <v>2.1954234585142E-2</v>
      </c>
      <c r="S14" s="26">
        <f t="shared" si="2"/>
        <v>-0.3070620570739645</v>
      </c>
      <c r="T14" s="27">
        <v>0.79388888888888898</v>
      </c>
      <c r="U14" s="28">
        <f>AVERAGE(P4:P29)</f>
        <v>4.0966290192307693E-2</v>
      </c>
      <c r="V14" s="29">
        <v>76.836585365853693</v>
      </c>
    </row>
    <row r="15" spans="1:22" x14ac:dyDescent="0.25">
      <c r="A15" s="30">
        <v>1996</v>
      </c>
      <c r="B15" s="31">
        <v>4.4574098999999999E-2</v>
      </c>
      <c r="C15" s="9">
        <v>3.6366232229504199E-2</v>
      </c>
      <c r="D15" s="9">
        <v>2.0093171884206999E-2</v>
      </c>
      <c r="E15" s="32">
        <f t="shared" si="0"/>
        <v>-0.30704087935798818</v>
      </c>
      <c r="F15" s="33">
        <v>0.86733333333333296</v>
      </c>
      <c r="G15" s="34">
        <f>AVERAGE(B4:B29)</f>
        <v>4.2342841730769229E-2</v>
      </c>
      <c r="H15" s="35">
        <v>76.787804878048803</v>
      </c>
      <c r="I15" s="31">
        <v>2.6141646000000001E-2</v>
      </c>
      <c r="J15" s="9">
        <v>3.9491407216512897E-2</v>
      </c>
      <c r="K15" s="9">
        <v>2.48878837826088E-2</v>
      </c>
      <c r="L15" s="32">
        <f t="shared" si="1"/>
        <v>-0.30724288979585795</v>
      </c>
      <c r="M15" s="33">
        <v>0.95788888888888901</v>
      </c>
      <c r="N15" s="34">
        <f>AVERAGE(I4:I29)</f>
        <v>2.9212163269230776E-2</v>
      </c>
      <c r="O15" s="35">
        <v>78.078048780487805</v>
      </c>
      <c r="P15" s="31">
        <v>3.5732130000000001E-2</v>
      </c>
      <c r="Q15" s="9">
        <v>2.54873441364151E-2</v>
      </c>
      <c r="R15" s="9">
        <v>2.2985529856929501E-2</v>
      </c>
      <c r="S15" s="32">
        <f t="shared" si="2"/>
        <v>-0.3070620570739645</v>
      </c>
      <c r="T15" s="33">
        <v>0.80255555555555602</v>
      </c>
      <c r="U15" s="34">
        <f>AVERAGE(P4:P29)</f>
        <v>4.0966290192307693E-2</v>
      </c>
      <c r="V15" s="35">
        <v>77.0878048780488</v>
      </c>
    </row>
    <row r="16" spans="1:22" x14ac:dyDescent="0.25">
      <c r="A16" s="24">
        <v>1997</v>
      </c>
      <c r="B16" s="25">
        <v>4.2837582999999999E-2</v>
      </c>
      <c r="C16" s="5">
        <v>1.9753158378018599E-2</v>
      </c>
      <c r="D16" s="5">
        <v>6.4577756503756203E-3</v>
      </c>
      <c r="E16" s="26">
        <f t="shared" si="0"/>
        <v>-0.30704087935798818</v>
      </c>
      <c r="F16" s="27">
        <v>0.87133333333333296</v>
      </c>
      <c r="G16" s="28">
        <f>AVERAGE(B4:B29)</f>
        <v>4.2342841730769229E-2</v>
      </c>
      <c r="H16" s="29">
        <v>77.334146341463395</v>
      </c>
      <c r="I16" s="25">
        <v>2.4673924E-2</v>
      </c>
      <c r="J16" s="5">
        <v>3.9473418040174603E-2</v>
      </c>
      <c r="K16" s="5">
        <v>2.96114247290842E-2</v>
      </c>
      <c r="L16" s="26">
        <f t="shared" si="1"/>
        <v>-0.30724288979585795</v>
      </c>
      <c r="M16" s="27">
        <v>0.95855555555555605</v>
      </c>
      <c r="N16" s="28">
        <f>AVERAGE(I4:I29)</f>
        <v>2.9212163269230776E-2</v>
      </c>
      <c r="O16" s="29">
        <v>78.480487804878095</v>
      </c>
      <c r="P16" s="25">
        <v>3.2745642999999998E-2</v>
      </c>
      <c r="Q16" s="5">
        <v>3.1271784620208402E-2</v>
      </c>
      <c r="R16" s="5">
        <v>2.8873159560860801E-2</v>
      </c>
      <c r="S16" s="26">
        <f t="shared" si="2"/>
        <v>-0.3070620570739645</v>
      </c>
      <c r="T16" s="27">
        <v>0.81122222222222196</v>
      </c>
      <c r="U16" s="28">
        <f>AVERAGE(P4:P29)</f>
        <v>4.0966290192307693E-2</v>
      </c>
      <c r="V16" s="29">
        <v>77.210975609756105</v>
      </c>
    </row>
    <row r="17" spans="1:22" x14ac:dyDescent="0.25">
      <c r="A17" s="30">
        <v>1998</v>
      </c>
      <c r="B17" s="31">
        <v>3.2050173000000001E-2</v>
      </c>
      <c r="C17" s="9">
        <v>6.0870675899180101E-3</v>
      </c>
      <c r="D17" s="9">
        <v>-2.8002546060925202E-3</v>
      </c>
      <c r="E17" s="32">
        <f t="shared" si="0"/>
        <v>-0.30704087935798818</v>
      </c>
      <c r="F17" s="33">
        <v>0.87533333333333296</v>
      </c>
      <c r="G17" s="34">
        <f>AVERAGE(B4:B29)</f>
        <v>4.2342841730769229E-2</v>
      </c>
      <c r="H17" s="35">
        <v>78.085365853658502</v>
      </c>
      <c r="I17" s="31">
        <v>1.7740103E-2</v>
      </c>
      <c r="J17" s="9">
        <v>4.4382434282081801E-2</v>
      </c>
      <c r="K17" s="9">
        <v>3.5707710652393101E-2</v>
      </c>
      <c r="L17" s="32">
        <f t="shared" si="1"/>
        <v>-0.30724288979585795</v>
      </c>
      <c r="M17" s="33">
        <v>0.95922222222222198</v>
      </c>
      <c r="N17" s="34">
        <f>AVERAGE(I4:I29)</f>
        <v>2.9212163269230776E-2</v>
      </c>
      <c r="O17" s="35">
        <v>78.631707317073193</v>
      </c>
      <c r="P17" s="31">
        <v>2.5886889999999999E-2</v>
      </c>
      <c r="Q17" s="9">
        <v>3.1907793716674501E-2</v>
      </c>
      <c r="R17" s="9">
        <v>2.9894468180500299E-2</v>
      </c>
      <c r="S17" s="32">
        <f t="shared" si="2"/>
        <v>-0.3070620570739645</v>
      </c>
      <c r="T17" s="33">
        <v>0.819888888888889</v>
      </c>
      <c r="U17" s="34">
        <f>AVERAGE(P4:P29)</f>
        <v>4.0966290192307693E-2</v>
      </c>
      <c r="V17" s="35">
        <v>77.190243902438993</v>
      </c>
    </row>
    <row r="18" spans="1:22" x14ac:dyDescent="0.25">
      <c r="A18" s="24">
        <v>1999</v>
      </c>
      <c r="B18" s="25">
        <v>3.2284287000000002E-2</v>
      </c>
      <c r="C18" s="5">
        <v>5.5116551831002898E-2</v>
      </c>
      <c r="D18" s="5">
        <v>4.9586619706207397E-2</v>
      </c>
      <c r="E18" s="26">
        <f t="shared" si="0"/>
        <v>-0.30704087935798818</v>
      </c>
      <c r="F18" s="27">
        <v>0.87933333333333297</v>
      </c>
      <c r="G18" s="28">
        <f>AVERAGE(B4:B29)</f>
        <v>4.2342841730769229E-2</v>
      </c>
      <c r="H18" s="29">
        <v>77.890243902438996</v>
      </c>
      <c r="I18" s="25">
        <v>1.9410835000000001E-2</v>
      </c>
      <c r="J18" s="5">
        <v>5.0070963540992601E-2</v>
      </c>
      <c r="K18" s="5">
        <v>3.8680671507538497E-2</v>
      </c>
      <c r="L18" s="26">
        <f t="shared" si="1"/>
        <v>-0.30724288979585795</v>
      </c>
      <c r="M18" s="27">
        <v>0.95988888888888901</v>
      </c>
      <c r="N18" s="28">
        <f>AVERAGE(I4:I29)</f>
        <v>2.9212163269230776E-2</v>
      </c>
      <c r="O18" s="29">
        <v>78.931707317073204</v>
      </c>
      <c r="P18" s="25">
        <v>2.7438168999999998E-2</v>
      </c>
      <c r="Q18" s="5">
        <v>3.2833482043775897E-2</v>
      </c>
      <c r="R18" s="5">
        <v>2.81496486604512E-2</v>
      </c>
      <c r="S18" s="26">
        <f t="shared" si="2"/>
        <v>-0.3070620570739645</v>
      </c>
      <c r="T18" s="27">
        <v>0.82855555555555604</v>
      </c>
      <c r="U18" s="28">
        <f>AVERAGE(P4:P29)</f>
        <v>4.0966290192307693E-2</v>
      </c>
      <c r="V18" s="29">
        <v>77.390243902438996</v>
      </c>
    </row>
    <row r="19" spans="1:22" x14ac:dyDescent="0.25">
      <c r="A19" s="30">
        <v>2000</v>
      </c>
      <c r="B19" s="31">
        <v>3.4166456999999997E-2</v>
      </c>
      <c r="C19" s="9">
        <v>2.76728296451027E-2</v>
      </c>
      <c r="D19" s="9">
        <v>2.1652297734902501E-2</v>
      </c>
      <c r="E19" s="32">
        <f t="shared" si="0"/>
        <v>-0.30704087935798818</v>
      </c>
      <c r="F19" s="33">
        <v>0.88333333333333297</v>
      </c>
      <c r="G19" s="34">
        <f>AVERAGE(B4:B29)</f>
        <v>4.2342841730769229E-2</v>
      </c>
      <c r="H19" s="35">
        <v>78.636585365853705</v>
      </c>
      <c r="I19" s="31">
        <v>2.5869191999999999E-2</v>
      </c>
      <c r="J19" s="9">
        <v>3.86865768166436E-2</v>
      </c>
      <c r="K19" s="9">
        <v>2.8618413177816798E-2</v>
      </c>
      <c r="L19" s="32">
        <f t="shared" si="1"/>
        <v>-0.30724288979585795</v>
      </c>
      <c r="M19" s="33">
        <v>0.96055555555555605</v>
      </c>
      <c r="N19" s="34">
        <f>AVERAGE(I4:I29)</f>
        <v>2.9212163269230776E-2</v>
      </c>
      <c r="O19" s="35">
        <v>79.234146341463401</v>
      </c>
      <c r="P19" s="31">
        <v>3.6190567999999999E-2</v>
      </c>
      <c r="Q19" s="9">
        <v>3.7449624430463201E-2</v>
      </c>
      <c r="R19" s="9">
        <v>4.1313506358114697E-2</v>
      </c>
      <c r="S19" s="32">
        <f t="shared" si="2"/>
        <v>-0.3070620570739645</v>
      </c>
      <c r="T19" s="33">
        <v>0.83722222222222198</v>
      </c>
      <c r="U19" s="34">
        <f>AVERAGE(P4:P29)</f>
        <v>4.0966290192307693E-2</v>
      </c>
      <c r="V19" s="35">
        <v>77.741463414634197</v>
      </c>
    </row>
    <row r="20" spans="1:22" x14ac:dyDescent="0.25">
      <c r="A20" s="24">
        <v>2001</v>
      </c>
      <c r="B20" s="25">
        <v>3.0056099999999999E-2</v>
      </c>
      <c r="C20" s="5">
        <v>3.4358683906344799E-2</v>
      </c>
      <c r="D20" s="5">
        <v>2.8281276872956101E-2</v>
      </c>
      <c r="E20" s="26">
        <f t="shared" si="0"/>
        <v>-0.30704087935798818</v>
      </c>
      <c r="F20" s="27">
        <v>0.89466666666666705</v>
      </c>
      <c r="G20" s="28">
        <f>AVERAGE(B4:B29)</f>
        <v>4.2342841730769229E-2</v>
      </c>
      <c r="H20" s="29">
        <v>78.692682926829306</v>
      </c>
      <c r="I20" s="25">
        <v>2.2514353000000001E-2</v>
      </c>
      <c r="J20" s="5">
        <v>1.92938679706415E-2</v>
      </c>
      <c r="K20" s="5">
        <v>6.3156015509858304E-3</v>
      </c>
      <c r="L20" s="26">
        <f t="shared" si="1"/>
        <v>-0.30724288979585795</v>
      </c>
      <c r="M20" s="27">
        <v>0.96022222222222198</v>
      </c>
      <c r="N20" s="28">
        <f>AVERAGE(I4:I29)</f>
        <v>2.9212163269230776E-2</v>
      </c>
      <c r="O20" s="29">
        <v>79.634146341463406</v>
      </c>
      <c r="P20" s="25">
        <v>3.3257372E-2</v>
      </c>
      <c r="Q20" s="5">
        <v>2.7261073375417302E-2</v>
      </c>
      <c r="R20" s="5">
        <v>2.6715111603729198E-2</v>
      </c>
      <c r="S20" s="26">
        <f t="shared" si="2"/>
        <v>-0.3070620570739645</v>
      </c>
      <c r="T20" s="27">
        <v>0.84333333333333305</v>
      </c>
      <c r="U20" s="28">
        <f>AVERAGE(P4:P29)</f>
        <v>4.0966290192307693E-2</v>
      </c>
      <c r="V20" s="29">
        <v>77.992682926829303</v>
      </c>
    </row>
    <row r="21" spans="1:22" x14ac:dyDescent="0.25">
      <c r="A21" s="30">
        <v>2002</v>
      </c>
      <c r="B21" s="31">
        <v>3.1768585000000002E-2</v>
      </c>
      <c r="C21" s="9">
        <v>4.8738986899248701E-2</v>
      </c>
      <c r="D21" s="9">
        <v>3.1348955401217897E-2</v>
      </c>
      <c r="E21" s="32">
        <f t="shared" si="0"/>
        <v>-0.30704087935798818</v>
      </c>
      <c r="F21" s="33">
        <v>0.90600000000000003</v>
      </c>
      <c r="G21" s="34">
        <f>AVERAGE(B4:B29)</f>
        <v>4.2342841730769229E-2</v>
      </c>
      <c r="H21" s="35">
        <v>78.846341463414603</v>
      </c>
      <c r="I21" s="31">
        <v>2.3149573999999999E-2</v>
      </c>
      <c r="J21" s="9">
        <v>3.8566867207919998E-2</v>
      </c>
      <c r="K21" s="9">
        <v>2.6641231626862199E-2</v>
      </c>
      <c r="L21" s="32">
        <f t="shared" si="1"/>
        <v>-0.30724288979585795</v>
      </c>
      <c r="M21" s="33">
        <v>0.95988888888888901</v>
      </c>
      <c r="N21" s="34">
        <f>AVERAGE(I4:I29)</f>
        <v>2.9212163269230776E-2</v>
      </c>
      <c r="O21" s="35">
        <v>79.936585365853702</v>
      </c>
      <c r="P21" s="31">
        <v>3.1082661000000001E-2</v>
      </c>
      <c r="Q21" s="9">
        <v>2.3972482840580199E-2</v>
      </c>
      <c r="R21" s="9">
        <v>2.5827167410301E-2</v>
      </c>
      <c r="S21" s="32">
        <f t="shared" si="2"/>
        <v>-0.3070620570739645</v>
      </c>
      <c r="T21" s="33">
        <v>0.849444444444444</v>
      </c>
      <c r="U21" s="34">
        <f>AVERAGE(P4:P29)</f>
        <v>4.0966290192307693E-2</v>
      </c>
      <c r="V21" s="35">
        <v>78.143902439024401</v>
      </c>
    </row>
    <row r="22" spans="1:22" x14ac:dyDescent="0.25">
      <c r="A22" s="24">
        <v>2003</v>
      </c>
      <c r="B22" s="25">
        <v>3.7837254000000001E-2</v>
      </c>
      <c r="C22" s="5">
        <v>4.63657343278902E-2</v>
      </c>
      <c r="D22" s="5">
        <v>2.8218702478210001E-2</v>
      </c>
      <c r="E22" s="26">
        <f t="shared" si="0"/>
        <v>-0.30704087935798818</v>
      </c>
      <c r="F22" s="27">
        <v>0.917333333333333</v>
      </c>
      <c r="G22" s="28">
        <f>AVERAGE(B4:B29)</f>
        <v>4.2342841730769229E-2</v>
      </c>
      <c r="H22" s="29">
        <v>79.146341463414601</v>
      </c>
      <c r="I22" s="25">
        <v>2.5954552999999998E-2</v>
      </c>
      <c r="J22" s="5">
        <v>3.0707987214718201E-2</v>
      </c>
      <c r="K22" s="5">
        <v>1.71759705957601E-2</v>
      </c>
      <c r="L22" s="26">
        <f t="shared" si="1"/>
        <v>-0.30724288979585795</v>
      </c>
      <c r="M22" s="27">
        <v>0.95955555555555605</v>
      </c>
      <c r="N22" s="28">
        <f>AVERAGE(I4:I29)</f>
        <v>2.9212163269230776E-2</v>
      </c>
      <c r="O22" s="29">
        <v>80.239024390243898</v>
      </c>
      <c r="P22" s="25">
        <v>3.5762657000000003E-2</v>
      </c>
      <c r="Q22" s="5">
        <v>3.4662388982013001E-2</v>
      </c>
      <c r="R22" s="5">
        <v>3.04312034978842E-2</v>
      </c>
      <c r="S22" s="26">
        <f t="shared" si="2"/>
        <v>-0.3070620570739645</v>
      </c>
      <c r="T22" s="27">
        <v>0.85555555555555596</v>
      </c>
      <c r="U22" s="28">
        <f>AVERAGE(P4:P29)</f>
        <v>4.0966290192307693E-2</v>
      </c>
      <c r="V22" s="29">
        <v>78.446341463414598</v>
      </c>
    </row>
    <row r="23" spans="1:22" x14ac:dyDescent="0.25">
      <c r="A23" s="30">
        <v>2004</v>
      </c>
      <c r="B23" s="31">
        <v>4.7905547E-2</v>
      </c>
      <c r="C23" s="9">
        <v>3.8091792610019701E-2</v>
      </c>
      <c r="D23" s="9">
        <v>1.29798162155919E-2</v>
      </c>
      <c r="E23" s="32">
        <f t="shared" si="0"/>
        <v>-0.30704087935798818</v>
      </c>
      <c r="F23" s="33">
        <v>0.92866666666666697</v>
      </c>
      <c r="G23" s="34">
        <f>AVERAGE(B4:B29)</f>
        <v>4.2342841730769229E-2</v>
      </c>
      <c r="H23" s="35">
        <v>79.548780487804905</v>
      </c>
      <c r="I23" s="31">
        <v>2.8458443E-2</v>
      </c>
      <c r="J23" s="9">
        <v>4.1493743448779798E-2</v>
      </c>
      <c r="K23" s="9">
        <v>2.87962176666481E-2</v>
      </c>
      <c r="L23" s="32">
        <f t="shared" si="1"/>
        <v>-0.30724288979585795</v>
      </c>
      <c r="M23" s="33">
        <v>0.95922222222222198</v>
      </c>
      <c r="N23" s="34">
        <f>AVERAGE(I4:I29)</f>
        <v>2.9212163269230776E-2</v>
      </c>
      <c r="O23" s="35">
        <v>80.490243902439005</v>
      </c>
      <c r="P23" s="31">
        <v>4.0331855999999999E-2</v>
      </c>
      <c r="Q23" s="9">
        <v>2.5278771402296601E-2</v>
      </c>
      <c r="R23" s="9">
        <v>2.0887684750582999E-2</v>
      </c>
      <c r="S23" s="32">
        <f t="shared" si="2"/>
        <v>-0.3070620570739645</v>
      </c>
      <c r="T23" s="33">
        <v>0.86166666666666702</v>
      </c>
      <c r="U23" s="34">
        <f>AVERAGE(P4:P29)</f>
        <v>4.0966290192307693E-2</v>
      </c>
      <c r="V23" s="35">
        <v>78.746341463414595</v>
      </c>
    </row>
    <row r="24" spans="1:22" x14ac:dyDescent="0.25">
      <c r="A24" s="24">
        <v>2005</v>
      </c>
      <c r="B24" s="25">
        <v>5.2777580999999997E-2</v>
      </c>
      <c r="C24" s="5">
        <v>3.4005476756716203E-2</v>
      </c>
      <c r="D24" s="5">
        <v>1.37643477629763E-2</v>
      </c>
      <c r="E24" s="26">
        <f>(G24-20)/65</f>
        <v>-0.30704087935798818</v>
      </c>
      <c r="F24" s="27">
        <v>0.94</v>
      </c>
      <c r="G24" s="28">
        <f>AVERAGE(B4:B29)</f>
        <v>4.2342841730769229E-2</v>
      </c>
      <c r="H24" s="29">
        <v>79.851219512195101</v>
      </c>
      <c r="I24" s="25">
        <v>3.4013048999999997E-2</v>
      </c>
      <c r="J24" s="5">
        <v>3.2066423006507999E-2</v>
      </c>
      <c r="K24" s="5">
        <v>9.6185757798892303E-3</v>
      </c>
      <c r="L24" s="26">
        <f t="shared" si="1"/>
        <v>-0.30724288979585795</v>
      </c>
      <c r="M24" s="27">
        <v>0.95888888888888901</v>
      </c>
      <c r="N24" s="28">
        <f>AVERAGE(I4:I29)</f>
        <v>2.9212163269230776E-2</v>
      </c>
      <c r="O24" s="29">
        <v>80.841463414634205</v>
      </c>
      <c r="P24" s="25">
        <v>4.8675112999999999E-2</v>
      </c>
      <c r="Q24" s="5">
        <v>2.9720957979860602E-2</v>
      </c>
      <c r="R24" s="5">
        <v>2.83687502267598E-2</v>
      </c>
      <c r="S24" s="26">
        <f t="shared" si="2"/>
        <v>-0.3070620570739645</v>
      </c>
      <c r="T24" s="27">
        <v>0.86777777777777798</v>
      </c>
      <c r="U24" s="28">
        <f>AVERAGE(P4:P29)</f>
        <v>4.0966290192307693E-2</v>
      </c>
      <c r="V24" s="29">
        <v>79.048780487804905</v>
      </c>
    </row>
    <row r="25" spans="1:22" x14ac:dyDescent="0.25">
      <c r="A25" s="30">
        <v>2006</v>
      </c>
      <c r="B25" s="31">
        <v>5.5883953E-2</v>
      </c>
      <c r="C25" s="9">
        <v>2.9259758507939299E-2</v>
      </c>
      <c r="D25" s="9">
        <v>1.43982737769177E-2</v>
      </c>
      <c r="E25" s="32">
        <f t="shared" si="0"/>
        <v>-0.30704087935798818</v>
      </c>
      <c r="F25" s="33">
        <v>0.94333333333333302</v>
      </c>
      <c r="G25" s="34">
        <f>AVERAGE(B4:B29)</f>
        <v>4.2342841730769229E-2</v>
      </c>
      <c r="H25" s="35">
        <v>80.048780487804905</v>
      </c>
      <c r="I25" s="31">
        <v>3.4770186000000002E-2</v>
      </c>
      <c r="J25" s="9">
        <v>2.9828702853226099E-2</v>
      </c>
      <c r="K25" s="9">
        <v>1.23544318697901E-2</v>
      </c>
      <c r="L25" s="32">
        <f t="shared" si="1"/>
        <v>-0.30724288979585795</v>
      </c>
      <c r="M25" s="33">
        <v>0.926111111111111</v>
      </c>
      <c r="N25" s="34">
        <f>AVERAGE(I4:I29)</f>
        <v>2.9212163269230776E-2</v>
      </c>
      <c r="O25" s="35">
        <v>81.041463414634194</v>
      </c>
      <c r="P25" s="31">
        <v>5.0447132999999998E-2</v>
      </c>
      <c r="Q25" s="9">
        <v>2.50300855954745E-2</v>
      </c>
      <c r="R25" s="9">
        <v>5.1339002420142804E-3</v>
      </c>
      <c r="S25" s="32">
        <f t="shared" si="2"/>
        <v>-0.3070620570739645</v>
      </c>
      <c r="T25" s="33">
        <v>0.85388888888888903</v>
      </c>
      <c r="U25" s="34">
        <f>AVERAGE(P4:P29)</f>
        <v>4.0966290192307693E-2</v>
      </c>
      <c r="V25" s="35">
        <v>79.248780487804893</v>
      </c>
    </row>
    <row r="26" spans="1:22" x14ac:dyDescent="0.25">
      <c r="A26" s="24">
        <v>2007</v>
      </c>
      <c r="B26" s="25">
        <v>6.0759905000000003E-2</v>
      </c>
      <c r="C26" s="5">
        <v>2.8646279822343301E-2</v>
      </c>
      <c r="D26" s="5">
        <v>1.2913586783986899E-2</v>
      </c>
      <c r="E26" s="26">
        <f t="shared" si="0"/>
        <v>-0.30704087935798818</v>
      </c>
      <c r="F26" s="27">
        <v>0.95166666666666699</v>
      </c>
      <c r="G26" s="28">
        <f>AVERAGE(B4:B29)</f>
        <v>4.2342841730769229E-2</v>
      </c>
      <c r="H26" s="29">
        <v>80.151219512195098</v>
      </c>
      <c r="I26" s="25">
        <v>3.8241519000000002E-2</v>
      </c>
      <c r="J26" s="5">
        <v>3.7576578643791797E-2</v>
      </c>
      <c r="K26" s="5">
        <v>2.46568220008936E-2</v>
      </c>
      <c r="L26" s="26">
        <f t="shared" si="1"/>
        <v>-0.30724288979585795</v>
      </c>
      <c r="M26" s="27">
        <v>0.926111111111111</v>
      </c>
      <c r="N26" s="28">
        <f>AVERAGE(I4:I29)</f>
        <v>2.9212163269230776E-2</v>
      </c>
      <c r="O26" s="29">
        <v>81.292682926829301</v>
      </c>
      <c r="P26" s="25">
        <v>5.2130382000000003E-2</v>
      </c>
      <c r="Q26" s="5">
        <v>2.5558191117036999E-2</v>
      </c>
      <c r="R26" s="5">
        <v>1.7010468568053098E-2</v>
      </c>
      <c r="S26" s="26">
        <f t="shared" si="2"/>
        <v>-0.3070620570739645</v>
      </c>
      <c r="T26" s="27">
        <v>0.85111111111111104</v>
      </c>
      <c r="U26" s="28">
        <f>AVERAGE(P4:P29)</f>
        <v>4.0966290192307693E-2</v>
      </c>
      <c r="V26" s="29">
        <v>79.448780487804896</v>
      </c>
    </row>
    <row r="27" spans="1:22" x14ac:dyDescent="0.25">
      <c r="A27" s="30">
        <v>2008</v>
      </c>
      <c r="B27" s="31">
        <v>7.1008657000000003E-2</v>
      </c>
      <c r="C27" s="9">
        <v>-1.30930001923564E-2</v>
      </c>
      <c r="D27" s="9">
        <v>-2.2270229046382001E-2</v>
      </c>
      <c r="E27" s="32">
        <f t="shared" si="0"/>
        <v>-0.30704087935798818</v>
      </c>
      <c r="F27" s="33">
        <v>0.94944444444444398</v>
      </c>
      <c r="G27" s="34">
        <f>AVERAGE(B4:B29)</f>
        <v>4.2342841730769229E-2</v>
      </c>
      <c r="H27" s="35">
        <v>80.351219512195101</v>
      </c>
      <c r="I27" s="31">
        <v>4.6804853E-2</v>
      </c>
      <c r="J27" s="9">
        <v>3.7066995060460503E-2</v>
      </c>
      <c r="K27" s="9">
        <v>1.99935105633018E-2</v>
      </c>
      <c r="L27" s="32">
        <f t="shared" si="1"/>
        <v>-0.30724288979585795</v>
      </c>
      <c r="M27" s="33">
        <v>0.93555555555555603</v>
      </c>
      <c r="N27" s="34">
        <f>AVERAGE(I4:I29)</f>
        <v>2.9212163269230776E-2</v>
      </c>
      <c r="O27" s="35">
        <v>81.395121951219494</v>
      </c>
      <c r="P27" s="31">
        <v>6.4955183E-2</v>
      </c>
      <c r="Q27" s="9">
        <v>-6.27205201223418E-3</v>
      </c>
      <c r="R27" s="9">
        <v>-2.1307125741907199E-2</v>
      </c>
      <c r="S27" s="32">
        <f t="shared" si="2"/>
        <v>-0.3070620570739645</v>
      </c>
      <c r="T27" s="33">
        <v>0.86</v>
      </c>
      <c r="U27" s="34">
        <f>AVERAGE(P4:P29)</f>
        <v>4.0966290192307693E-2</v>
      </c>
      <c r="V27" s="35">
        <v>79.599999999999994</v>
      </c>
    </row>
    <row r="28" spans="1:22" x14ac:dyDescent="0.25">
      <c r="A28" s="24">
        <v>2009</v>
      </c>
      <c r="B28" s="25">
        <v>5.4111996000000002E-2</v>
      </c>
      <c r="C28" s="5">
        <v>-5.3763164295041596E-3</v>
      </c>
      <c r="D28" s="5">
        <v>1.8397898232509501E-2</v>
      </c>
      <c r="E28" s="26">
        <f t="shared" si="0"/>
        <v>-0.30704087935798818</v>
      </c>
      <c r="F28" s="27">
        <v>0.974444444444444</v>
      </c>
      <c r="G28" s="28">
        <f>AVERAGE(B4:B29)</f>
        <v>4.2342841730769229E-2</v>
      </c>
      <c r="H28" s="29">
        <v>80.702439024390202</v>
      </c>
      <c r="I28" s="25">
        <v>2.9041906999999999E-2</v>
      </c>
      <c r="J28" s="5">
        <v>1.8196782608441701E-2</v>
      </c>
      <c r="K28" s="5">
        <v>2.9054167819634802E-3</v>
      </c>
      <c r="L28" s="26">
        <f t="shared" si="1"/>
        <v>-0.30724288979585795</v>
      </c>
      <c r="M28" s="27">
        <v>0.94722222222222197</v>
      </c>
      <c r="N28" s="28">
        <f>AVERAGE(I4:I29)</f>
        <v>2.9212163269230776E-2</v>
      </c>
      <c r="O28" s="29">
        <v>81.543902439024393</v>
      </c>
      <c r="P28" s="25">
        <v>4.3944189000000002E-2</v>
      </c>
      <c r="Q28" s="5">
        <v>-4.3277376085660797E-2</v>
      </c>
      <c r="R28" s="5">
        <v>-5.0329344396575403E-2</v>
      </c>
      <c r="S28" s="26">
        <f t="shared" si="2"/>
        <v>-0.3070620570739645</v>
      </c>
      <c r="T28" s="27">
        <v>0.86555555555555597</v>
      </c>
      <c r="U28" s="28">
        <f>AVERAGE(P4:P29)</f>
        <v>4.0966290192307693E-2</v>
      </c>
      <c r="V28" s="29">
        <v>80.051219512195104</v>
      </c>
    </row>
    <row r="29" spans="1:22" x14ac:dyDescent="0.25">
      <c r="A29" s="30">
        <v>2010</v>
      </c>
      <c r="B29" s="31">
        <v>6.2885645000000004E-2</v>
      </c>
      <c r="C29" s="9">
        <v>1.37039191023831E-2</v>
      </c>
      <c r="D29" s="9">
        <v>-7.5483012945085203E-3</v>
      </c>
      <c r="E29" s="32">
        <f t="shared" si="0"/>
        <v>-0.30704087935798818</v>
      </c>
      <c r="F29" s="33">
        <v>0.96388888888888902</v>
      </c>
      <c r="G29" s="34">
        <f>AVERAGE(B4:B29)</f>
        <v>4.2342841730769229E-2</v>
      </c>
      <c r="H29" s="35">
        <v>80.702439024390202</v>
      </c>
      <c r="I29" s="31">
        <v>3.3486684000000003E-2</v>
      </c>
      <c r="J29" s="9">
        <v>2.0181821442019701E-2</v>
      </c>
      <c r="K29" s="9">
        <v>6.9652684040136096E-4</v>
      </c>
      <c r="L29" s="32">
        <f t="shared" si="1"/>
        <v>-0.30724288979585795</v>
      </c>
      <c r="M29" s="33">
        <v>0.96833333333333305</v>
      </c>
      <c r="N29" s="34">
        <f>AVERAGE(I4:I29)</f>
        <v>2.9212163269230776E-2</v>
      </c>
      <c r="O29" s="35">
        <v>81.695121951219505</v>
      </c>
      <c r="P29" s="31">
        <v>4.9655278999999997E-2</v>
      </c>
      <c r="Q29" s="9">
        <v>1.9151618327202E-2</v>
      </c>
      <c r="R29" s="9">
        <v>2.0589883157241098E-2</v>
      </c>
      <c r="S29" s="32">
        <f t="shared" si="2"/>
        <v>-0.3070620570739645</v>
      </c>
      <c r="T29" s="33">
        <v>0.90333333333333299</v>
      </c>
      <c r="U29" s="34">
        <f>AVERAGE(P4:P29)</f>
        <v>4.0966290192307693E-2</v>
      </c>
      <c r="V29" s="35">
        <v>80.402439024390304</v>
      </c>
    </row>
    <row r="30" spans="1:22" x14ac:dyDescent="0.25">
      <c r="A30" s="24">
        <v>2011</v>
      </c>
      <c r="B30" s="25"/>
      <c r="C30" s="5">
        <v>2.4752047878877199E-2</v>
      </c>
      <c r="D30" s="5">
        <v>2.1474970116493599E-2</v>
      </c>
      <c r="E30" s="26">
        <f t="shared" si="0"/>
        <v>-0.30704087935798818</v>
      </c>
      <c r="F30" s="27">
        <v>0.95555555555555605</v>
      </c>
      <c r="G30" s="28">
        <f>AVERAGE(B4:B29)</f>
        <v>4.2342841730769229E-2</v>
      </c>
      <c r="H30" s="29">
        <v>80.904878048780503</v>
      </c>
      <c r="I30" s="25"/>
      <c r="J30" s="5">
        <v>2.37956133560841E-2</v>
      </c>
      <c r="K30" s="5">
        <v>6.6797186648975097E-3</v>
      </c>
      <c r="L30" s="26">
        <f t="shared" si="1"/>
        <v>-0.30724288979585795</v>
      </c>
      <c r="M30" s="27">
        <v>0.98611111111111105</v>
      </c>
      <c r="N30" s="28">
        <f>AVERAGE(I4:I29)</f>
        <v>2.9212163269230776E-2</v>
      </c>
      <c r="O30" s="29">
        <v>81.895121951219494</v>
      </c>
      <c r="P30" s="25"/>
      <c r="Q30" s="5">
        <v>1.5090617823648501E-2</v>
      </c>
      <c r="R30" s="5">
        <v>6.3716300641951298E-3</v>
      </c>
      <c r="S30" s="26">
        <f t="shared" si="2"/>
        <v>-0.3070620570739645</v>
      </c>
      <c r="T30" s="27">
        <v>0.88666666666666705</v>
      </c>
      <c r="U30" s="28">
        <f>AVERAGE(P4:P29)</f>
        <v>4.0966290192307693E-2</v>
      </c>
      <c r="V30" s="29">
        <v>80.951219512195095</v>
      </c>
    </row>
    <row r="31" spans="1:22" x14ac:dyDescent="0.25">
      <c r="A31" s="30">
        <v>2012</v>
      </c>
      <c r="B31" s="31"/>
      <c r="C31" s="9">
        <v>2.32968426303981E-2</v>
      </c>
      <c r="D31" s="9">
        <v>2.2185737812218099E-2</v>
      </c>
      <c r="E31" s="32">
        <f>(G31-20)/65</f>
        <v>-0.30704087935798818</v>
      </c>
      <c r="F31" s="33">
        <v>0.95</v>
      </c>
      <c r="G31" s="34">
        <f>AVERAGE(B4:B29)</f>
        <v>4.2342841730769229E-2</v>
      </c>
      <c r="H31" s="35">
        <v>81.156097560975596</v>
      </c>
      <c r="I31" s="31"/>
      <c r="J31" s="9">
        <v>3.6327203031982301E-2</v>
      </c>
      <c r="K31" s="9">
        <v>2.91797011772769E-2</v>
      </c>
      <c r="L31" s="32">
        <f t="shared" si="1"/>
        <v>-0.30724288979585795</v>
      </c>
      <c r="M31" s="33">
        <v>0.99444444444444502</v>
      </c>
      <c r="N31" s="34">
        <f>AVERAGE(I4:I29)</f>
        <v>2.9212163269230776E-2</v>
      </c>
      <c r="O31" s="35">
        <v>82.046341463414606</v>
      </c>
      <c r="P31" s="31"/>
      <c r="Q31" s="9">
        <v>1.3130185984248499E-2</v>
      </c>
      <c r="R31" s="9">
        <v>-7.1358602049670598E-3</v>
      </c>
      <c r="S31" s="32">
        <f t="shared" si="2"/>
        <v>-0.3070620570739645</v>
      </c>
      <c r="T31" s="33">
        <v>0.88666666666666705</v>
      </c>
      <c r="U31" s="34">
        <f>AVERAGE(P4:P29)</f>
        <v>4.0966290192307693E-2</v>
      </c>
      <c r="V31" s="35">
        <v>80.904878048780503</v>
      </c>
    </row>
    <row r="32" spans="1:22" x14ac:dyDescent="0.25">
      <c r="A32" s="24">
        <v>2013</v>
      </c>
      <c r="B32" s="25"/>
      <c r="C32" s="5">
        <v>2.7439851243847398E-2</v>
      </c>
      <c r="D32" s="5">
        <v>1.8980620415507E-2</v>
      </c>
      <c r="E32" s="26">
        <f t="shared" si="0"/>
        <v>-0.30704087935798818</v>
      </c>
      <c r="F32" s="27">
        <v>0.95</v>
      </c>
      <c r="G32" s="28">
        <f>AVERAGE(B4:B29)</f>
        <v>4.2342841730769229E-2</v>
      </c>
      <c r="H32" s="29">
        <v>81.407317073170702</v>
      </c>
      <c r="I32" s="25"/>
      <c r="J32" s="5">
        <v>2.4400490620624601E-2</v>
      </c>
      <c r="K32" s="5">
        <v>1.3346492689372699E-2</v>
      </c>
      <c r="L32" s="26">
        <f t="shared" si="1"/>
        <v>-0.30724288979585795</v>
      </c>
      <c r="M32" s="27">
        <v>0.99444444444444502</v>
      </c>
      <c r="N32" s="28">
        <f>AVERAGE(I4:I29)</f>
        <v>2.9212163269230776E-2</v>
      </c>
      <c r="O32" s="29">
        <v>82.148780487804899</v>
      </c>
      <c r="P32" s="25"/>
      <c r="Q32" s="5">
        <v>1.9110784106548401E-2</v>
      </c>
      <c r="R32" s="5">
        <v>7.5793850417842602E-3</v>
      </c>
      <c r="S32" s="26">
        <f t="shared" si="2"/>
        <v>-0.3070620570739645</v>
      </c>
      <c r="T32" s="27">
        <v>0.88666666666666705</v>
      </c>
      <c r="U32" s="28">
        <f>AVERAGE(P4:P29)</f>
        <v>4.0966290192307693E-2</v>
      </c>
      <c r="V32" s="29">
        <v>81.004878048780498</v>
      </c>
    </row>
    <row r="33" spans="1:22" x14ac:dyDescent="0.25">
      <c r="A33" s="30">
        <v>2014</v>
      </c>
      <c r="B33" s="31"/>
      <c r="C33" s="9">
        <v>3.5761757996746399E-2</v>
      </c>
      <c r="D33" s="9">
        <v>2.03140861230038E-2</v>
      </c>
      <c r="E33" s="32">
        <f t="shared" si="0"/>
        <v>-0.30704087935798818</v>
      </c>
      <c r="F33" s="33">
        <v>0.95</v>
      </c>
      <c r="G33" s="34">
        <f>AVERAGE(B4:B29)</f>
        <v>4.2342841730769229E-2</v>
      </c>
      <c r="H33" s="35">
        <v>81.404878048780503</v>
      </c>
      <c r="I33" s="31"/>
      <c r="J33" s="9">
        <v>2.4998512224341001E-2</v>
      </c>
      <c r="K33" s="9">
        <v>8.4782568828929098E-3</v>
      </c>
      <c r="L33" s="32">
        <f t="shared" si="1"/>
        <v>-0.30724288979585795</v>
      </c>
      <c r="M33" s="33">
        <v>0.99444444444444502</v>
      </c>
      <c r="N33" s="34">
        <f>AVERAGE(I4:I29)</f>
        <v>2.9212163269230776E-2</v>
      </c>
      <c r="O33" s="35">
        <v>82.251219512195107</v>
      </c>
      <c r="P33" s="31"/>
      <c r="Q33" s="9">
        <v>3.07048379406776E-2</v>
      </c>
      <c r="R33" s="9">
        <v>1.5563171592179501E-2</v>
      </c>
      <c r="S33" s="32">
        <f t="shared" si="2"/>
        <v>-0.3070620570739645</v>
      </c>
      <c r="T33" s="33">
        <v>0.88666666666666705</v>
      </c>
      <c r="U33" s="34">
        <f>AVERAGE(P4:P29)</f>
        <v>4.0966290192307693E-2</v>
      </c>
      <c r="V33" s="35">
        <v>81.056097560975601</v>
      </c>
    </row>
    <row r="34" spans="1:22" ht="14.25" thickBot="1" x14ac:dyDescent="0.3">
      <c r="A34" s="24">
        <v>2015</v>
      </c>
      <c r="B34" s="36"/>
      <c r="C34" s="37">
        <v>3.3929999330520003E-2</v>
      </c>
      <c r="D34" s="37">
        <v>1.45819174404001E-2</v>
      </c>
      <c r="E34" s="26">
        <f t="shared" si="0"/>
        <v>-0.30704087935798818</v>
      </c>
      <c r="F34" s="39">
        <v>0.95</v>
      </c>
      <c r="G34" s="40">
        <f>AVERAGE(B4:B29)</f>
        <v>4.2342841730769229E-2</v>
      </c>
      <c r="H34" s="41"/>
      <c r="I34" s="36"/>
      <c r="J34" s="37">
        <v>2.2400285754314402E-2</v>
      </c>
      <c r="K34" s="37">
        <v>1.5650215410326199E-2</v>
      </c>
      <c r="L34" s="38"/>
      <c r="M34" s="39">
        <v>0.99444444444444502</v>
      </c>
      <c r="N34" s="40">
        <f>AVERAGE(I4:I29)</f>
        <v>2.9212163269230776E-2</v>
      </c>
      <c r="O34" s="41"/>
      <c r="P34" s="36"/>
      <c r="Q34" s="37">
        <v>2.22150212833063E-2</v>
      </c>
      <c r="R34" s="37">
        <v>6.9246846487978101E-3</v>
      </c>
      <c r="S34" s="38"/>
      <c r="T34" s="39">
        <v>0.88666666666666705</v>
      </c>
      <c r="U34" s="40">
        <f>AVERAGE(P4:P29)</f>
        <v>4.0966290192307693E-2</v>
      </c>
      <c r="V34" s="41"/>
    </row>
    <row r="35" spans="1:22" x14ac:dyDescent="0.25">
      <c r="B35" s="62"/>
    </row>
  </sheetData>
  <mergeCells count="4">
    <mergeCell ref="A1:V1"/>
    <mergeCell ref="B2:H2"/>
    <mergeCell ref="I2:O2"/>
    <mergeCell ref="P2:V2"/>
  </mergeCells>
  <pageMargins left="0.75" right="0.75" top="1" bottom="1" header="0.511811023622047" footer="0.511811023622047"/>
  <pageSetup paperSize="9"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tint="-0.499984740745262"/>
  </sheetPr>
  <dimension ref="A1:AR1"/>
  <sheetViews>
    <sheetView showGridLines="0" tabSelected="1" zoomScale="70" zoomScaleNormal="70" workbookViewId="0">
      <selection sqref="A1:N1"/>
    </sheetView>
  </sheetViews>
  <sheetFormatPr defaultColWidth="8.7109375" defaultRowHeight="15" x14ac:dyDescent="0.25"/>
  <cols>
    <col min="15" max="15" width="3.42578125" customWidth="1"/>
    <col min="30" max="30" width="3.42578125" customWidth="1"/>
  </cols>
  <sheetData>
    <row r="1" spans="1:44" ht="25.5" customHeight="1" x14ac:dyDescent="0.25">
      <c r="A1" s="44" t="s">
        <v>7</v>
      </c>
      <c r="B1" s="44"/>
      <c r="C1" s="44"/>
      <c r="D1" s="44"/>
      <c r="E1" s="44"/>
      <c r="F1" s="44"/>
      <c r="G1" s="44"/>
      <c r="H1" s="44"/>
      <c r="I1" s="44"/>
      <c r="J1" s="44"/>
      <c r="K1" s="44"/>
      <c r="L1" s="44"/>
      <c r="M1" s="44"/>
      <c r="N1" s="44"/>
      <c r="P1" s="44" t="s">
        <v>8</v>
      </c>
      <c r="Q1" s="44"/>
      <c r="R1" s="44"/>
      <c r="S1" s="44"/>
      <c r="T1" s="44"/>
      <c r="U1" s="44"/>
      <c r="V1" s="44"/>
      <c r="W1" s="44"/>
      <c r="X1" s="44"/>
      <c r="Y1" s="44"/>
      <c r="Z1" s="44"/>
      <c r="AA1" s="44"/>
      <c r="AB1" s="44"/>
      <c r="AC1" s="44"/>
      <c r="AE1" s="44" t="s">
        <v>9</v>
      </c>
      <c r="AF1" s="44"/>
      <c r="AG1" s="44"/>
      <c r="AH1" s="44"/>
      <c r="AI1" s="44"/>
      <c r="AJ1" s="44"/>
      <c r="AK1" s="44"/>
      <c r="AL1" s="44"/>
      <c r="AM1" s="44"/>
      <c r="AN1" s="44"/>
      <c r="AO1" s="44"/>
      <c r="AP1" s="44"/>
      <c r="AQ1" s="44"/>
      <c r="AR1" s="44"/>
    </row>
  </sheetData>
  <mergeCells count="3">
    <mergeCell ref="A1:N1"/>
    <mergeCell ref="P1:AC1"/>
    <mergeCell ref="AE1:AR1"/>
  </mergeCells>
  <pageMargins left="0.75" right="0.75" top="1" bottom="1" header="0.511811023622047" footer="0.511811023622047"/>
  <pageSetup paperSize="9" orientation="portrait" horizontalDpi="300" verticalDpi="3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5" tint="-0.499984740745262"/>
  </sheetPr>
  <dimension ref="A1:I92"/>
  <sheetViews>
    <sheetView showGridLines="0" zoomScaleNormal="100" workbookViewId="0">
      <selection activeCell="M58" sqref="M58"/>
    </sheetView>
  </sheetViews>
  <sheetFormatPr defaultColWidth="8.7109375" defaultRowHeight="15" x14ac:dyDescent="0.25"/>
  <cols>
    <col min="1" max="1" width="8" style="1" customWidth="1"/>
    <col min="2" max="2" width="10" style="1" customWidth="1"/>
    <col min="3" max="3" width="12" style="1" customWidth="1"/>
    <col min="4" max="6" width="26" style="1" customWidth="1"/>
    <col min="7" max="16384" width="8.7109375" style="1"/>
  </cols>
  <sheetData>
    <row r="1" spans="1:6" ht="25.5" customHeight="1" x14ac:dyDescent="0.25">
      <c r="A1" s="60" t="s">
        <v>44</v>
      </c>
      <c r="B1" s="60"/>
      <c r="C1" s="60"/>
      <c r="D1" s="60"/>
      <c r="E1" s="60"/>
      <c r="F1" s="60"/>
    </row>
    <row r="2" spans="1:6" ht="27.75" customHeight="1" x14ac:dyDescent="0.25">
      <c r="A2" s="12" t="s">
        <v>10</v>
      </c>
      <c r="B2" s="12"/>
      <c r="C2" s="12"/>
      <c r="D2" s="12"/>
      <c r="E2" s="12"/>
      <c r="F2" s="12"/>
    </row>
    <row r="4" spans="1:6" ht="21.75" customHeight="1" x14ac:dyDescent="0.25">
      <c r="A4" s="61" t="s">
        <v>43</v>
      </c>
      <c r="B4" s="61"/>
      <c r="C4" s="61"/>
      <c r="D4" s="61"/>
      <c r="E4" s="61"/>
      <c r="F4" s="61"/>
    </row>
    <row r="5" spans="1:6" ht="34.5" customHeight="1" x14ac:dyDescent="0.25">
      <c r="A5" s="13" t="s">
        <v>1</v>
      </c>
      <c r="B5" s="13" t="s">
        <v>5</v>
      </c>
      <c r="C5" s="13" t="s">
        <v>6</v>
      </c>
      <c r="D5" s="13" t="s">
        <v>11</v>
      </c>
      <c r="E5" s="13" t="s">
        <v>12</v>
      </c>
      <c r="F5" s="13" t="s">
        <v>13</v>
      </c>
    </row>
    <row r="6" spans="1:6" x14ac:dyDescent="0.25">
      <c r="A6" s="14">
        <v>1985</v>
      </c>
      <c r="B6" s="5">
        <v>3.4483081999999998E-2</v>
      </c>
      <c r="C6" s="5">
        <v>1.6149793624204298E-2</v>
      </c>
      <c r="D6" s="15"/>
      <c r="E6" s="15"/>
      <c r="F6" s="15"/>
    </row>
    <row r="7" spans="1:6" x14ac:dyDescent="0.25">
      <c r="A7" s="16">
        <v>1986</v>
      </c>
      <c r="B7" s="9">
        <v>2.8720197999999999E-2</v>
      </c>
      <c r="C7" s="9">
        <v>2.7056582510303299E-2</v>
      </c>
      <c r="D7" s="17"/>
      <c r="E7" s="17"/>
      <c r="F7" s="17"/>
    </row>
    <row r="8" spans="1:6" x14ac:dyDescent="0.25">
      <c r="A8" s="14">
        <v>1987</v>
      </c>
      <c r="B8" s="5">
        <v>3.4538795999999997E-2</v>
      </c>
      <c r="C8" s="5">
        <v>9.5916665470187502E-3</v>
      </c>
      <c r="D8" s="15"/>
      <c r="E8" s="15"/>
      <c r="F8" s="15"/>
    </row>
    <row r="9" spans="1:6" x14ac:dyDescent="0.25">
      <c r="A9" s="16">
        <v>1988</v>
      </c>
      <c r="B9" s="9">
        <v>3.645719E-2</v>
      </c>
      <c r="C9" s="9">
        <v>-3.4539433481123199E-3</v>
      </c>
      <c r="D9" s="17"/>
      <c r="E9" s="17"/>
      <c r="F9" s="17"/>
    </row>
    <row r="10" spans="1:6" x14ac:dyDescent="0.25">
      <c r="A10" s="14">
        <v>1989</v>
      </c>
      <c r="B10" s="5">
        <v>3.5570015000000003E-2</v>
      </c>
      <c r="C10" s="5">
        <v>1.55216537770372E-3</v>
      </c>
      <c r="D10" s="15"/>
      <c r="E10" s="15"/>
      <c r="F10" s="15"/>
    </row>
    <row r="11" spans="1:6" x14ac:dyDescent="0.25">
      <c r="A11" s="16">
        <v>1990</v>
      </c>
      <c r="B11" s="9">
        <v>4.2906918000000002E-2</v>
      </c>
      <c r="C11" s="9">
        <v>1.3648455016812E-3</v>
      </c>
      <c r="D11" s="17"/>
      <c r="E11" s="17"/>
      <c r="F11" s="17"/>
    </row>
    <row r="12" spans="1:6" x14ac:dyDescent="0.25">
      <c r="A12" s="14">
        <v>1991</v>
      </c>
      <c r="B12" s="5">
        <v>4.1330082999999997E-2</v>
      </c>
      <c r="C12" s="5">
        <v>-1.08774988874848E-2</v>
      </c>
      <c r="D12" s="15"/>
      <c r="E12" s="15"/>
      <c r="F12" s="15"/>
    </row>
    <row r="13" spans="1:6" x14ac:dyDescent="0.25">
      <c r="A13" s="16">
        <v>1992</v>
      </c>
      <c r="B13" s="9">
        <v>3.8838103999999998E-2</v>
      </c>
      <c r="C13" s="9">
        <v>1.11660327812382E-2</v>
      </c>
      <c r="D13" s="17"/>
      <c r="E13" s="17"/>
      <c r="F13" s="17"/>
    </row>
    <row r="14" spans="1:6" x14ac:dyDescent="0.25">
      <c r="A14" s="14">
        <v>1993</v>
      </c>
      <c r="B14" s="5">
        <v>3.6008219000000001E-2</v>
      </c>
      <c r="C14" s="5">
        <v>6.41638825463373E-2</v>
      </c>
      <c r="D14" s="15"/>
      <c r="E14" s="15"/>
      <c r="F14" s="15"/>
    </row>
    <row r="15" spans="1:6" x14ac:dyDescent="0.25">
      <c r="A15" s="16">
        <v>1994</v>
      </c>
      <c r="B15" s="9">
        <v>3.8469769000000001E-2</v>
      </c>
      <c r="C15" s="9">
        <v>5.1083130566602797E-2</v>
      </c>
      <c r="D15" s="17"/>
      <c r="E15" s="17"/>
      <c r="F15" s="17"/>
    </row>
    <row r="16" spans="1:6" x14ac:dyDescent="0.25">
      <c r="A16" s="14">
        <v>1995</v>
      </c>
      <c r="B16" s="5">
        <v>4.2683688999999997E-2</v>
      </c>
      <c r="C16" s="5">
        <v>4.5920092095193203E-2</v>
      </c>
      <c r="D16" s="15"/>
      <c r="E16" s="15"/>
      <c r="F16" s="15"/>
    </row>
    <row r="17" spans="1:9" x14ac:dyDescent="0.25">
      <c r="A17" s="16">
        <v>1996</v>
      </c>
      <c r="B17" s="9">
        <v>4.4574098999999999E-2</v>
      </c>
      <c r="C17" s="9">
        <v>3.6366232229504199E-2</v>
      </c>
      <c r="D17" s="17"/>
      <c r="E17" s="17"/>
      <c r="F17" s="17"/>
    </row>
    <row r="18" spans="1:9" x14ac:dyDescent="0.25">
      <c r="A18" s="14">
        <v>1997</v>
      </c>
      <c r="B18" s="5">
        <v>4.2837582999999999E-2</v>
      </c>
      <c r="C18" s="5">
        <v>1.9753158378018599E-2</v>
      </c>
      <c r="D18" s="15"/>
      <c r="E18" s="15"/>
      <c r="F18" s="15"/>
    </row>
    <row r="19" spans="1:9" x14ac:dyDescent="0.25">
      <c r="A19" s="16">
        <v>1998</v>
      </c>
      <c r="B19" s="9">
        <v>3.2050173000000001E-2</v>
      </c>
      <c r="C19" s="9">
        <v>6.0870675899180101E-3</v>
      </c>
      <c r="D19" s="17"/>
      <c r="E19" s="17"/>
      <c r="F19" s="17"/>
    </row>
    <row r="20" spans="1:9" x14ac:dyDescent="0.25">
      <c r="A20" s="14">
        <v>1999</v>
      </c>
      <c r="B20" s="5">
        <v>3.2284287000000002E-2</v>
      </c>
      <c r="C20" s="5">
        <v>5.5116551831002898E-2</v>
      </c>
      <c r="D20" s="15"/>
      <c r="E20" s="15"/>
      <c r="F20" s="15"/>
    </row>
    <row r="21" spans="1:9" x14ac:dyDescent="0.25">
      <c r="A21" s="16">
        <v>2000</v>
      </c>
      <c r="B21" s="9">
        <v>3.4166456999999997E-2</v>
      </c>
      <c r="C21" s="9">
        <v>2.76728296451027E-2</v>
      </c>
      <c r="D21" s="17"/>
      <c r="E21" s="17"/>
      <c r="F21" s="17"/>
    </row>
    <row r="22" spans="1:9" x14ac:dyDescent="0.25">
      <c r="A22" s="14">
        <v>2001</v>
      </c>
      <c r="B22" s="5">
        <v>3.0056099999999999E-2</v>
      </c>
      <c r="C22" s="5">
        <v>3.4358683906344799E-2</v>
      </c>
      <c r="D22" s="15"/>
      <c r="E22" s="15"/>
      <c r="F22" s="15"/>
    </row>
    <row r="23" spans="1:9" x14ac:dyDescent="0.25">
      <c r="A23" s="16">
        <v>2002</v>
      </c>
      <c r="B23" s="9">
        <v>3.1768585000000002E-2</v>
      </c>
      <c r="C23" s="9">
        <v>4.8738986899248701E-2</v>
      </c>
      <c r="D23" s="17"/>
      <c r="E23" s="17"/>
      <c r="F23" s="17"/>
    </row>
    <row r="24" spans="1:9" x14ac:dyDescent="0.25">
      <c r="A24" s="14">
        <v>2003</v>
      </c>
      <c r="B24" s="5">
        <v>3.7837254000000001E-2</v>
      </c>
      <c r="C24" s="5">
        <v>4.63657343278902E-2</v>
      </c>
      <c r="D24" s="15"/>
      <c r="E24" s="15"/>
      <c r="F24" s="15"/>
    </row>
    <row r="25" spans="1:9" x14ac:dyDescent="0.25">
      <c r="A25" s="16">
        <v>2004</v>
      </c>
      <c r="B25" s="9">
        <v>4.7905547E-2</v>
      </c>
      <c r="C25" s="9">
        <v>3.8091792610019701E-2</v>
      </c>
      <c r="D25" s="17"/>
      <c r="E25" s="17"/>
      <c r="F25" s="17"/>
    </row>
    <row r="26" spans="1:9" x14ac:dyDescent="0.25">
      <c r="A26" s="14">
        <v>2005</v>
      </c>
      <c r="B26" s="5">
        <v>5.2777580999999997E-2</v>
      </c>
      <c r="C26" s="5">
        <v>3.4005476756716203E-2</v>
      </c>
      <c r="D26" s="15"/>
      <c r="E26" s="15"/>
      <c r="F26" s="15"/>
    </row>
    <row r="27" spans="1:9" x14ac:dyDescent="0.25">
      <c r="A27" s="16">
        <v>2006</v>
      </c>
      <c r="B27" s="9">
        <v>5.5883953E-2</v>
      </c>
      <c r="C27" s="9">
        <v>2.9259758507939299E-2</v>
      </c>
      <c r="D27" s="17"/>
      <c r="E27" s="17"/>
      <c r="F27" s="17"/>
    </row>
    <row r="28" spans="1:9" x14ac:dyDescent="0.25">
      <c r="A28" s="14">
        <v>2007</v>
      </c>
      <c r="B28" s="5">
        <v>6.0759905000000003E-2</v>
      </c>
      <c r="C28" s="5">
        <v>2.8646279822343301E-2</v>
      </c>
      <c r="D28" s="15"/>
      <c r="E28" s="15"/>
      <c r="F28" s="15"/>
    </row>
    <row r="29" spans="1:9" x14ac:dyDescent="0.25">
      <c r="A29" s="16">
        <v>2008</v>
      </c>
      <c r="B29" s="9">
        <v>7.1008657000000003E-2</v>
      </c>
      <c r="C29" s="9">
        <v>-1.30930001923564E-2</v>
      </c>
      <c r="D29" s="17"/>
      <c r="E29" s="17"/>
      <c r="F29" s="17"/>
    </row>
    <row r="30" spans="1:9" x14ac:dyDescent="0.25">
      <c r="A30" s="14">
        <v>2009</v>
      </c>
      <c r="B30" s="5">
        <v>5.4111996000000002E-2</v>
      </c>
      <c r="C30" s="5">
        <v>-5.3763164295041596E-3</v>
      </c>
      <c r="D30" s="15"/>
      <c r="E30" s="15"/>
      <c r="F30" s="15"/>
      <c r="G30" s="18" t="s">
        <v>30</v>
      </c>
      <c r="H30" s="19"/>
      <c r="I30" s="19"/>
    </row>
    <row r="31" spans="1:9" x14ac:dyDescent="0.25">
      <c r="A31" s="16">
        <v>2010</v>
      </c>
      <c r="B31" s="9">
        <v>6.2885645000000004E-2</v>
      </c>
      <c r="C31" s="9">
        <v>1.37039191023831E-2</v>
      </c>
      <c r="D31" s="17"/>
      <c r="E31" s="17"/>
      <c r="F31" s="17"/>
      <c r="G31" s="18"/>
      <c r="H31" s="19"/>
      <c r="I31" s="19"/>
    </row>
    <row r="32" spans="1:9" x14ac:dyDescent="0.25">
      <c r="A32" s="20" t="s">
        <v>45</v>
      </c>
      <c r="B32" s="20"/>
      <c r="C32" s="20"/>
      <c r="D32" s="21">
        <f>CORREL(B6:B31,C6:C31)</f>
        <v>-0.2916786351972086</v>
      </c>
      <c r="E32" s="21">
        <f>CORREL(B6:B30,C7:C31)</f>
        <v>-0.41114533936829273</v>
      </c>
      <c r="F32" s="21">
        <f>CORREL(B6:B29,C8:C31)</f>
        <v>-0.26340124552128741</v>
      </c>
      <c r="G32" s="18"/>
      <c r="H32" s="19"/>
      <c r="I32" s="19"/>
    </row>
    <row r="34" spans="1:6" ht="21.75" customHeight="1" x14ac:dyDescent="0.25">
      <c r="A34" s="61" t="s">
        <v>42</v>
      </c>
      <c r="B34" s="61"/>
      <c r="C34" s="61"/>
      <c r="D34" s="61"/>
      <c r="E34" s="61"/>
      <c r="F34" s="61"/>
    </row>
    <row r="35" spans="1:6" ht="34.5" customHeight="1" x14ac:dyDescent="0.25">
      <c r="A35" s="13" t="s">
        <v>1</v>
      </c>
      <c r="B35" s="13" t="s">
        <v>5</v>
      </c>
      <c r="C35" s="13" t="s">
        <v>6</v>
      </c>
      <c r="D35" s="13" t="s">
        <v>11</v>
      </c>
      <c r="E35" s="13" t="s">
        <v>12</v>
      </c>
      <c r="F35" s="13" t="s">
        <v>13</v>
      </c>
    </row>
    <row r="36" spans="1:6" x14ac:dyDescent="0.25">
      <c r="A36" s="14">
        <v>1985</v>
      </c>
      <c r="B36" s="5">
        <v>4.0567764999999999E-2</v>
      </c>
      <c r="C36" s="5">
        <v>5.2494805114085899E-2</v>
      </c>
      <c r="D36" s="15"/>
      <c r="E36" s="15"/>
      <c r="F36" s="15"/>
    </row>
    <row r="37" spans="1:6" x14ac:dyDescent="0.25">
      <c r="A37" s="16">
        <v>1986</v>
      </c>
      <c r="B37" s="9">
        <v>2.7576557000000002E-2</v>
      </c>
      <c r="C37" s="9">
        <v>4.1015278981464898E-2</v>
      </c>
      <c r="D37" s="17"/>
      <c r="E37" s="17"/>
      <c r="F37" s="17"/>
    </row>
    <row r="38" spans="1:6" x14ac:dyDescent="0.25">
      <c r="A38" s="14">
        <v>1987</v>
      </c>
      <c r="B38" s="5">
        <v>2.9972722E-2</v>
      </c>
      <c r="C38" s="5">
        <v>2.5744927136275499E-2</v>
      </c>
      <c r="D38" s="15"/>
      <c r="E38" s="15"/>
      <c r="F38" s="15"/>
    </row>
    <row r="39" spans="1:6" x14ac:dyDescent="0.25">
      <c r="A39" s="16">
        <v>1988</v>
      </c>
      <c r="B39" s="9">
        <v>2.8792076999999999E-2</v>
      </c>
      <c r="C39" s="9">
        <v>5.7690381847342001E-2</v>
      </c>
      <c r="D39" s="17"/>
      <c r="E39" s="17"/>
      <c r="F39" s="17"/>
    </row>
    <row r="40" spans="1:6" x14ac:dyDescent="0.25">
      <c r="A40" s="14">
        <v>1989</v>
      </c>
      <c r="B40" s="5">
        <v>3.0243045E-2</v>
      </c>
      <c r="C40" s="5">
        <v>3.8787000059352601E-2</v>
      </c>
      <c r="D40" s="15"/>
      <c r="E40" s="15"/>
      <c r="F40" s="15"/>
    </row>
    <row r="41" spans="1:6" x14ac:dyDescent="0.25">
      <c r="A41" s="16">
        <v>1990</v>
      </c>
      <c r="B41" s="9">
        <v>3.5428169000000002E-2</v>
      </c>
      <c r="C41" s="9">
        <v>3.5291348844549202E-2</v>
      </c>
      <c r="D41" s="17"/>
      <c r="E41" s="17"/>
      <c r="F41" s="17"/>
    </row>
    <row r="42" spans="1:6" x14ac:dyDescent="0.25">
      <c r="A42" s="14">
        <v>1991</v>
      </c>
      <c r="B42" s="5">
        <v>3.2890838999999998E-2</v>
      </c>
      <c r="C42" s="5">
        <v>-3.79883393800185E-3</v>
      </c>
      <c r="D42" s="15"/>
      <c r="E42" s="15"/>
      <c r="F42" s="15"/>
    </row>
    <row r="43" spans="1:6" x14ac:dyDescent="0.25">
      <c r="A43" s="16">
        <v>1992</v>
      </c>
      <c r="B43" s="9">
        <v>2.8840162999999999E-2</v>
      </c>
      <c r="C43" s="9">
        <v>3.9900703307603202E-3</v>
      </c>
      <c r="D43" s="17"/>
      <c r="E43" s="17"/>
      <c r="F43" s="17"/>
    </row>
    <row r="44" spans="1:6" x14ac:dyDescent="0.25">
      <c r="A44" s="14">
        <v>1993</v>
      </c>
      <c r="B44" s="5">
        <v>2.5682264E-2</v>
      </c>
      <c r="C44" s="5">
        <v>4.0601347685168702E-2</v>
      </c>
      <c r="D44" s="15"/>
      <c r="E44" s="15"/>
      <c r="F44" s="15"/>
    </row>
    <row r="45" spans="1:6" x14ac:dyDescent="0.25">
      <c r="A45" s="16">
        <v>1994</v>
      </c>
      <c r="B45" s="9">
        <v>2.4404142E-2</v>
      </c>
      <c r="C45" s="9">
        <v>4.03794657229683E-2</v>
      </c>
      <c r="D45" s="17"/>
      <c r="E45" s="17"/>
      <c r="F45" s="17"/>
    </row>
    <row r="46" spans="1:6" x14ac:dyDescent="0.25">
      <c r="A46" s="14">
        <v>1995</v>
      </c>
      <c r="B46" s="5">
        <v>2.4847681E-2</v>
      </c>
      <c r="C46" s="5">
        <v>3.87904043958818E-2</v>
      </c>
      <c r="D46" s="15"/>
      <c r="E46" s="15"/>
      <c r="F46" s="15"/>
    </row>
    <row r="47" spans="1:6" x14ac:dyDescent="0.25">
      <c r="A47" s="16">
        <v>1996</v>
      </c>
      <c r="B47" s="9">
        <v>2.6141646000000001E-2</v>
      </c>
      <c r="C47" s="9">
        <v>3.9491407216512897E-2</v>
      </c>
      <c r="D47" s="17"/>
      <c r="E47" s="17"/>
      <c r="F47" s="17"/>
    </row>
    <row r="48" spans="1:6" x14ac:dyDescent="0.25">
      <c r="A48" s="14">
        <v>1997</v>
      </c>
      <c r="B48" s="5">
        <v>2.4673924E-2</v>
      </c>
      <c r="C48" s="5">
        <v>3.9473418040174603E-2</v>
      </c>
      <c r="D48" s="15"/>
      <c r="E48" s="15"/>
      <c r="F48" s="15"/>
    </row>
    <row r="49" spans="1:9" x14ac:dyDescent="0.25">
      <c r="A49" s="16">
        <v>1998</v>
      </c>
      <c r="B49" s="9">
        <v>1.7740103E-2</v>
      </c>
      <c r="C49" s="9">
        <v>4.4382434282081801E-2</v>
      </c>
      <c r="D49" s="17"/>
      <c r="E49" s="17"/>
      <c r="F49" s="17"/>
    </row>
    <row r="50" spans="1:9" x14ac:dyDescent="0.25">
      <c r="A50" s="14">
        <v>1999</v>
      </c>
      <c r="B50" s="5">
        <v>1.9410835000000001E-2</v>
      </c>
      <c r="C50" s="5">
        <v>5.0070963540992601E-2</v>
      </c>
      <c r="D50" s="15"/>
      <c r="E50" s="15"/>
      <c r="F50" s="15"/>
    </row>
    <row r="51" spans="1:9" x14ac:dyDescent="0.25">
      <c r="A51" s="16">
        <v>2000</v>
      </c>
      <c r="B51" s="9">
        <v>2.5869191999999999E-2</v>
      </c>
      <c r="C51" s="9">
        <v>3.86865768166436E-2</v>
      </c>
      <c r="D51" s="17"/>
      <c r="E51" s="17"/>
      <c r="F51" s="17"/>
    </row>
    <row r="52" spans="1:9" x14ac:dyDescent="0.25">
      <c r="A52" s="14">
        <v>2001</v>
      </c>
      <c r="B52" s="5">
        <v>2.2514353000000001E-2</v>
      </c>
      <c r="C52" s="5">
        <v>1.92938679706415E-2</v>
      </c>
      <c r="D52" s="15"/>
      <c r="E52" s="15"/>
      <c r="F52" s="15"/>
    </row>
    <row r="53" spans="1:9" x14ac:dyDescent="0.25">
      <c r="A53" s="16">
        <v>2002</v>
      </c>
      <c r="B53" s="9">
        <v>2.3149573999999999E-2</v>
      </c>
      <c r="C53" s="9">
        <v>3.8566867207919998E-2</v>
      </c>
      <c r="D53" s="17"/>
      <c r="E53" s="17"/>
      <c r="F53" s="17"/>
    </row>
    <row r="54" spans="1:9" x14ac:dyDescent="0.25">
      <c r="A54" s="14">
        <v>2003</v>
      </c>
      <c r="B54" s="5">
        <v>2.5954552999999998E-2</v>
      </c>
      <c r="C54" s="5">
        <v>3.0707987214718201E-2</v>
      </c>
      <c r="D54" s="15"/>
      <c r="E54" s="15"/>
      <c r="F54" s="15"/>
    </row>
    <row r="55" spans="1:9" x14ac:dyDescent="0.25">
      <c r="A55" s="16">
        <v>2004</v>
      </c>
      <c r="B55" s="9">
        <v>2.8458443E-2</v>
      </c>
      <c r="C55" s="9">
        <v>4.1493743448779798E-2</v>
      </c>
      <c r="D55" s="17"/>
      <c r="E55" s="17"/>
      <c r="F55" s="17"/>
    </row>
    <row r="56" spans="1:9" x14ac:dyDescent="0.25">
      <c r="A56" s="14">
        <v>2005</v>
      </c>
      <c r="B56" s="5">
        <v>3.4013048999999997E-2</v>
      </c>
      <c r="C56" s="5">
        <v>3.2066423006507999E-2</v>
      </c>
      <c r="D56" s="15"/>
      <c r="E56" s="15"/>
      <c r="F56" s="15"/>
    </row>
    <row r="57" spans="1:9" x14ac:dyDescent="0.25">
      <c r="A57" s="16">
        <v>2006</v>
      </c>
      <c r="B57" s="9">
        <v>3.4770186000000002E-2</v>
      </c>
      <c r="C57" s="9">
        <v>2.9828702853226099E-2</v>
      </c>
      <c r="D57" s="17"/>
      <c r="E57" s="17"/>
      <c r="F57" s="17"/>
    </row>
    <row r="58" spans="1:9" x14ac:dyDescent="0.25">
      <c r="A58" s="14">
        <v>2007</v>
      </c>
      <c r="B58" s="5">
        <v>3.8241519000000002E-2</v>
      </c>
      <c r="C58" s="5">
        <v>3.7576578643791797E-2</v>
      </c>
      <c r="D58" s="15"/>
      <c r="E58" s="15"/>
      <c r="F58" s="15"/>
    </row>
    <row r="59" spans="1:9" x14ac:dyDescent="0.25">
      <c r="A59" s="16">
        <v>2008</v>
      </c>
      <c r="B59" s="9">
        <v>4.6804853E-2</v>
      </c>
      <c r="C59" s="9">
        <v>3.7066995060460503E-2</v>
      </c>
      <c r="D59" s="17"/>
      <c r="E59" s="17"/>
      <c r="F59" s="17"/>
    </row>
    <row r="60" spans="1:9" x14ac:dyDescent="0.25">
      <c r="A60" s="14">
        <v>2009</v>
      </c>
      <c r="B60" s="5">
        <v>2.9041906999999999E-2</v>
      </c>
      <c r="C60" s="5">
        <v>1.8196782608441701E-2</v>
      </c>
      <c r="D60" s="15"/>
      <c r="E60" s="15"/>
      <c r="F60" s="15"/>
      <c r="G60" s="18" t="s">
        <v>30</v>
      </c>
      <c r="H60" s="19"/>
      <c r="I60" s="19"/>
    </row>
    <row r="61" spans="1:9" x14ac:dyDescent="0.25">
      <c r="A61" s="16">
        <v>2010</v>
      </c>
      <c r="B61" s="9">
        <v>3.3486684000000003E-2</v>
      </c>
      <c r="C61" s="9">
        <v>2.0181821442019701E-2</v>
      </c>
      <c r="D61" s="17"/>
      <c r="E61" s="17"/>
      <c r="F61" s="17"/>
      <c r="G61" s="18"/>
      <c r="H61" s="19"/>
      <c r="I61" s="19"/>
    </row>
    <row r="62" spans="1:9" x14ac:dyDescent="0.25">
      <c r="A62" s="20" t="s">
        <v>45</v>
      </c>
      <c r="B62" s="20"/>
      <c r="C62" s="20"/>
      <c r="D62" s="21">
        <f>CORREL(B36:B61,C36:C61)</f>
        <v>-0.11963156204335604</v>
      </c>
      <c r="E62" s="21">
        <f>CORREL(B36:B60,C37:C61)</f>
        <v>-0.3910928101697555</v>
      </c>
      <c r="F62" s="21">
        <f>CORREL(B36:B59,C38:C61)</f>
        <v>-0.3763867946019977</v>
      </c>
      <c r="G62" s="18"/>
      <c r="H62" s="19"/>
      <c r="I62" s="19"/>
    </row>
    <row r="64" spans="1:9" ht="21.75" customHeight="1" x14ac:dyDescent="0.25">
      <c r="A64" s="61" t="s">
        <v>67</v>
      </c>
      <c r="B64" s="61"/>
      <c r="C64" s="61"/>
      <c r="D64" s="61"/>
      <c r="E64" s="61"/>
      <c r="F64" s="61"/>
    </row>
    <row r="65" spans="1:6" ht="34.5" customHeight="1" x14ac:dyDescent="0.25">
      <c r="A65" s="13" t="s">
        <v>1</v>
      </c>
      <c r="B65" s="13" t="s">
        <v>5</v>
      </c>
      <c r="C65" s="13" t="s">
        <v>6</v>
      </c>
      <c r="D65" s="13" t="s">
        <v>11</v>
      </c>
      <c r="E65" s="13" t="s">
        <v>12</v>
      </c>
      <c r="F65" s="13" t="s">
        <v>13</v>
      </c>
    </row>
    <row r="66" spans="1:6" x14ac:dyDescent="0.25">
      <c r="A66" s="14">
        <v>1985</v>
      </c>
      <c r="B66" s="5">
        <v>6.4062674E-2</v>
      </c>
      <c r="C66" s="5">
        <v>4.1873056551593603E-2</v>
      </c>
      <c r="D66" s="15"/>
      <c r="E66" s="15"/>
      <c r="F66" s="15"/>
    </row>
    <row r="67" spans="1:6" x14ac:dyDescent="0.25">
      <c r="A67" s="16">
        <v>1986</v>
      </c>
      <c r="B67" s="9">
        <v>4.4936697999999997E-2</v>
      </c>
      <c r="C67" s="9">
        <v>3.1532520728592701E-2</v>
      </c>
      <c r="D67" s="17"/>
      <c r="E67" s="17"/>
      <c r="F67" s="17"/>
    </row>
    <row r="68" spans="1:6" x14ac:dyDescent="0.25">
      <c r="A68" s="14">
        <v>1987</v>
      </c>
      <c r="B68" s="5">
        <v>4.5595472999999997E-2</v>
      </c>
      <c r="C68" s="5">
        <v>5.3594846585044001E-2</v>
      </c>
      <c r="D68" s="15"/>
      <c r="E68" s="15"/>
      <c r="F68" s="15"/>
    </row>
    <row r="69" spans="1:6" x14ac:dyDescent="0.25">
      <c r="A69" s="16">
        <v>1988</v>
      </c>
      <c r="B69" s="9">
        <v>4.0530898000000003E-2</v>
      </c>
      <c r="C69" s="9">
        <v>5.78739995952742E-2</v>
      </c>
      <c r="D69" s="17"/>
      <c r="E69" s="17"/>
      <c r="F69" s="17"/>
    </row>
    <row r="70" spans="1:6" x14ac:dyDescent="0.25">
      <c r="A70" s="14">
        <v>1989</v>
      </c>
      <c r="B70" s="5">
        <v>4.1978411E-2</v>
      </c>
      <c r="C70" s="5">
        <v>2.5828950669910099E-2</v>
      </c>
      <c r="D70" s="15"/>
      <c r="E70" s="15"/>
      <c r="F70" s="15"/>
    </row>
    <row r="71" spans="1:6" x14ac:dyDescent="0.25">
      <c r="A71" s="16">
        <v>1990</v>
      </c>
      <c r="B71" s="9">
        <v>4.3719076000000003E-2</v>
      </c>
      <c r="C71" s="9">
        <v>7.1688296281872997E-3</v>
      </c>
      <c r="D71" s="17"/>
      <c r="E71" s="17"/>
      <c r="F71" s="17"/>
    </row>
    <row r="72" spans="1:6" x14ac:dyDescent="0.25">
      <c r="A72" s="14">
        <v>1991</v>
      </c>
      <c r="B72" s="5">
        <v>3.9474292000000001E-2</v>
      </c>
      <c r="C72" s="5">
        <v>-1.11898405289487E-2</v>
      </c>
      <c r="D72" s="15"/>
      <c r="E72" s="15"/>
      <c r="F72" s="15"/>
    </row>
    <row r="73" spans="1:6" x14ac:dyDescent="0.25">
      <c r="A73" s="16">
        <v>1992</v>
      </c>
      <c r="B73" s="9">
        <v>3.7036527999999999E-2</v>
      </c>
      <c r="C73" s="9">
        <v>3.5987241549750599E-3</v>
      </c>
      <c r="D73" s="17"/>
      <c r="E73" s="17"/>
      <c r="F73" s="17"/>
    </row>
    <row r="74" spans="1:6" x14ac:dyDescent="0.25">
      <c r="A74" s="14">
        <v>1993</v>
      </c>
      <c r="B74" s="5">
        <v>3.4859117000000002E-2</v>
      </c>
      <c r="C74" s="5">
        <v>2.50701367525181E-2</v>
      </c>
      <c r="D74" s="15"/>
      <c r="E74" s="15"/>
      <c r="F74" s="15"/>
    </row>
    <row r="75" spans="1:6" x14ac:dyDescent="0.25">
      <c r="A75" s="16">
        <v>1994</v>
      </c>
      <c r="B75" s="9">
        <v>3.2440838999999999E-2</v>
      </c>
      <c r="C75" s="9">
        <v>3.8850747754034701E-2</v>
      </c>
      <c r="D75" s="17"/>
      <c r="E75" s="17"/>
      <c r="F75" s="17"/>
    </row>
    <row r="76" spans="1:6" x14ac:dyDescent="0.25">
      <c r="A76" s="14">
        <v>1995</v>
      </c>
      <c r="B76" s="5">
        <v>3.2254313999999999E-2</v>
      </c>
      <c r="C76" s="5">
        <v>2.50637285243695E-2</v>
      </c>
      <c r="D76" s="15"/>
      <c r="E76" s="15"/>
      <c r="F76" s="15"/>
    </row>
    <row r="77" spans="1:6" x14ac:dyDescent="0.25">
      <c r="A77" s="16">
        <v>1996</v>
      </c>
      <c r="B77" s="9">
        <v>3.5732130000000001E-2</v>
      </c>
      <c r="C77" s="9">
        <v>2.54873441364151E-2</v>
      </c>
      <c r="D77" s="17"/>
      <c r="E77" s="17"/>
      <c r="F77" s="17"/>
    </row>
    <row r="78" spans="1:6" x14ac:dyDescent="0.25">
      <c r="A78" s="14">
        <v>1997</v>
      </c>
      <c r="B78" s="5">
        <v>3.2745642999999998E-2</v>
      </c>
      <c r="C78" s="5">
        <v>3.1271784620208402E-2</v>
      </c>
      <c r="D78" s="15"/>
      <c r="E78" s="15"/>
      <c r="F78" s="15"/>
    </row>
    <row r="79" spans="1:6" x14ac:dyDescent="0.25">
      <c r="A79" s="16">
        <v>1998</v>
      </c>
      <c r="B79" s="9">
        <v>2.5886889999999999E-2</v>
      </c>
      <c r="C79" s="9">
        <v>3.1907793716674501E-2</v>
      </c>
      <c r="D79" s="17"/>
      <c r="E79" s="17"/>
      <c r="F79" s="17"/>
    </row>
    <row r="80" spans="1:6" x14ac:dyDescent="0.25">
      <c r="A80" s="14">
        <v>1999</v>
      </c>
      <c r="B80" s="5">
        <v>2.7438168999999998E-2</v>
      </c>
      <c r="C80" s="5">
        <v>3.2833482043775897E-2</v>
      </c>
      <c r="D80" s="15"/>
      <c r="E80" s="15"/>
      <c r="F80" s="15"/>
    </row>
    <row r="81" spans="1:9" x14ac:dyDescent="0.25">
      <c r="A81" s="16">
        <v>2000</v>
      </c>
      <c r="B81" s="9">
        <v>3.6190567999999999E-2</v>
      </c>
      <c r="C81" s="9">
        <v>3.7449624430463201E-2</v>
      </c>
      <c r="D81" s="17"/>
      <c r="E81" s="17"/>
      <c r="F81" s="17"/>
    </row>
    <row r="82" spans="1:9" x14ac:dyDescent="0.25">
      <c r="A82" s="14">
        <v>2001</v>
      </c>
      <c r="B82" s="5">
        <v>3.3257372E-2</v>
      </c>
      <c r="C82" s="5">
        <v>2.7261073375417302E-2</v>
      </c>
      <c r="D82" s="15"/>
      <c r="E82" s="15"/>
      <c r="F82" s="15"/>
    </row>
    <row r="83" spans="1:9" x14ac:dyDescent="0.25">
      <c r="A83" s="16">
        <v>2002</v>
      </c>
      <c r="B83" s="9">
        <v>3.1082661000000001E-2</v>
      </c>
      <c r="C83" s="9">
        <v>2.3972482840580199E-2</v>
      </c>
      <c r="D83" s="17"/>
      <c r="E83" s="17"/>
      <c r="F83" s="17"/>
    </row>
    <row r="84" spans="1:9" x14ac:dyDescent="0.25">
      <c r="A84" s="14">
        <v>2003</v>
      </c>
      <c r="B84" s="5">
        <v>3.5762657000000003E-2</v>
      </c>
      <c r="C84" s="5">
        <v>3.4662388982013001E-2</v>
      </c>
      <c r="D84" s="15"/>
      <c r="E84" s="15"/>
      <c r="F84" s="15"/>
    </row>
    <row r="85" spans="1:9" x14ac:dyDescent="0.25">
      <c r="A85" s="16">
        <v>2004</v>
      </c>
      <c r="B85" s="9">
        <v>4.0331855999999999E-2</v>
      </c>
      <c r="C85" s="9">
        <v>2.5278771402296601E-2</v>
      </c>
      <c r="D85" s="17"/>
      <c r="E85" s="17"/>
      <c r="F85" s="17"/>
    </row>
    <row r="86" spans="1:9" x14ac:dyDescent="0.25">
      <c r="A86" s="14">
        <v>2005</v>
      </c>
      <c r="B86" s="5">
        <v>4.8675112999999999E-2</v>
      </c>
      <c r="C86" s="5">
        <v>2.9720957979860602E-2</v>
      </c>
      <c r="D86" s="15"/>
      <c r="E86" s="15"/>
      <c r="F86" s="15"/>
    </row>
    <row r="87" spans="1:9" x14ac:dyDescent="0.25">
      <c r="A87" s="16">
        <v>2006</v>
      </c>
      <c r="B87" s="9">
        <v>5.0447132999999998E-2</v>
      </c>
      <c r="C87" s="9">
        <v>2.50300855954745E-2</v>
      </c>
      <c r="D87" s="17"/>
      <c r="E87" s="17"/>
      <c r="F87" s="17"/>
    </row>
    <row r="88" spans="1:9" x14ac:dyDescent="0.25">
      <c r="A88" s="14">
        <v>2007</v>
      </c>
      <c r="B88" s="5">
        <v>5.2130382000000003E-2</v>
      </c>
      <c r="C88" s="5">
        <v>2.5558191117036999E-2</v>
      </c>
      <c r="D88" s="15"/>
      <c r="E88" s="15"/>
      <c r="F88" s="15"/>
    </row>
    <row r="89" spans="1:9" x14ac:dyDescent="0.25">
      <c r="A89" s="16">
        <v>2008</v>
      </c>
      <c r="B89" s="9">
        <v>6.4955183E-2</v>
      </c>
      <c r="C89" s="9">
        <v>-6.27205201223418E-3</v>
      </c>
      <c r="D89" s="17"/>
      <c r="E89" s="17"/>
      <c r="F89" s="17"/>
    </row>
    <row r="90" spans="1:9" x14ac:dyDescent="0.25">
      <c r="A90" s="14">
        <v>2009</v>
      </c>
      <c r="B90" s="5">
        <v>4.3944189000000002E-2</v>
      </c>
      <c r="C90" s="5">
        <v>-4.3277376085660797E-2</v>
      </c>
      <c r="D90" s="15"/>
      <c r="E90" s="15"/>
      <c r="F90" s="15"/>
      <c r="G90" s="18" t="s">
        <v>30</v>
      </c>
      <c r="H90" s="19"/>
      <c r="I90" s="19"/>
    </row>
    <row r="91" spans="1:9" x14ac:dyDescent="0.25">
      <c r="A91" s="16">
        <v>2010</v>
      </c>
      <c r="B91" s="9">
        <v>4.9655278999999997E-2</v>
      </c>
      <c r="C91" s="9">
        <v>1.9151618327202E-2</v>
      </c>
      <c r="D91" s="17"/>
      <c r="E91" s="17"/>
      <c r="F91" s="17"/>
      <c r="G91" s="18"/>
      <c r="H91" s="19"/>
      <c r="I91" s="19"/>
    </row>
    <row r="92" spans="1:9" x14ac:dyDescent="0.25">
      <c r="A92" s="20" t="s">
        <v>45</v>
      </c>
      <c r="B92" s="20"/>
      <c r="C92" s="20"/>
      <c r="D92" s="21">
        <f>CORREL(B66:B91,C66:C91)</f>
        <v>-0.16545632439509145</v>
      </c>
      <c r="E92" s="21">
        <f>CORREL(B66:B90,C67:C91)</f>
        <v>-0.45955876486780917</v>
      </c>
      <c r="F92" s="21">
        <f>CORREL(B66:B89,C68:C91)</f>
        <v>-0.21409917409646737</v>
      </c>
      <c r="G92" s="18"/>
      <c r="H92" s="19"/>
      <c r="I92" s="19"/>
    </row>
  </sheetData>
  <mergeCells count="11">
    <mergeCell ref="A62:C62"/>
    <mergeCell ref="A64:F64"/>
    <mergeCell ref="A92:C92"/>
    <mergeCell ref="G30:I32"/>
    <mergeCell ref="G60:I62"/>
    <mergeCell ref="G90:I92"/>
    <mergeCell ref="A1:F1"/>
    <mergeCell ref="A2:F2"/>
    <mergeCell ref="A4:F4"/>
    <mergeCell ref="A32:C32"/>
    <mergeCell ref="A34:F34"/>
  </mergeCells>
  <pageMargins left="0.75" right="0.75" top="1" bottom="1" header="0.511811023622047" footer="0.511811023622047"/>
  <pageSetup paperSize="9" orientation="portrait" horizontalDpi="300" verticalDpi="3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499984740745262"/>
  </sheetPr>
  <dimension ref="A1:F18"/>
  <sheetViews>
    <sheetView zoomScaleNormal="100" workbookViewId="0">
      <selection activeCell="E23" sqref="E23"/>
    </sheetView>
  </sheetViews>
  <sheetFormatPr defaultColWidth="8.7109375" defaultRowHeight="13.5" x14ac:dyDescent="0.25"/>
  <cols>
    <col min="1" max="2" width="20" style="43" customWidth="1"/>
    <col min="3" max="3" width="16" style="43" customWidth="1"/>
    <col min="4" max="4" width="20" style="43" customWidth="1"/>
    <col min="5" max="6" width="16" style="43" customWidth="1"/>
    <col min="7" max="16384" width="8.7109375" style="43"/>
  </cols>
  <sheetData>
    <row r="1" spans="1:6" x14ac:dyDescent="0.25">
      <c r="A1" s="42" t="s">
        <v>14</v>
      </c>
      <c r="B1" s="42"/>
      <c r="C1" s="42"/>
      <c r="D1" s="42"/>
      <c r="E1" s="42"/>
      <c r="F1" s="42"/>
    </row>
    <row r="2" spans="1:6" x14ac:dyDescent="0.25">
      <c r="A2" s="2" t="s">
        <v>15</v>
      </c>
      <c r="B2" s="2" t="s">
        <v>16</v>
      </c>
      <c r="C2" s="2" t="s">
        <v>17</v>
      </c>
      <c r="D2" s="2" t="s">
        <v>18</v>
      </c>
      <c r="E2" s="2" t="s">
        <v>19</v>
      </c>
      <c r="F2" s="2" t="s">
        <v>20</v>
      </c>
    </row>
    <row r="3" spans="1:6" x14ac:dyDescent="0.25">
      <c r="A3" s="3" t="s">
        <v>2</v>
      </c>
      <c r="B3" s="4">
        <v>4.2342841730769201E-2</v>
      </c>
      <c r="C3" s="5">
        <v>2.4470787205795E-2</v>
      </c>
      <c r="D3" s="5">
        <v>1.31264564771229E-2</v>
      </c>
      <c r="E3" s="6">
        <v>0.89262163852407805</v>
      </c>
      <c r="F3" s="6">
        <v>0.88308243727598601</v>
      </c>
    </row>
    <row r="4" spans="1:6" x14ac:dyDescent="0.25">
      <c r="A4" s="7" t="s">
        <v>3</v>
      </c>
      <c r="B4" s="8">
        <v>2.92121632692308E-2</v>
      </c>
      <c r="C4" s="9">
        <v>3.2902995823229197E-2</v>
      </c>
      <c r="D4" s="9">
        <v>1.8774995005954202E-2</v>
      </c>
      <c r="E4" s="10">
        <v>0.91068667917448398</v>
      </c>
      <c r="F4" s="10">
        <v>0.93901433691756298</v>
      </c>
    </row>
    <row r="5" spans="1:6" x14ac:dyDescent="0.25">
      <c r="A5" s="3" t="s">
        <v>4</v>
      </c>
      <c r="B5" s="4">
        <v>4.09662901923077E-2</v>
      </c>
      <c r="C5" s="5">
        <v>2.3211397355596901E-2</v>
      </c>
      <c r="D5" s="5">
        <v>1.7887472449779201E-2</v>
      </c>
      <c r="E5" s="6">
        <v>0.89024327704815498</v>
      </c>
      <c r="F5" s="6">
        <v>0.79360215053763405</v>
      </c>
    </row>
    <row r="7" spans="1:6" x14ac:dyDescent="0.25">
      <c r="A7" s="11" t="s">
        <v>41</v>
      </c>
      <c r="B7" s="11"/>
      <c r="C7" s="11"/>
      <c r="D7" s="11"/>
      <c r="E7" s="11"/>
      <c r="F7" s="11"/>
    </row>
    <row r="9" spans="1:6" ht="14.25" thickBot="1" x14ac:dyDescent="0.3">
      <c r="A9" s="50" t="s">
        <v>31</v>
      </c>
      <c r="B9" s="50"/>
      <c r="C9" s="50"/>
      <c r="D9" s="50"/>
      <c r="E9" s="50"/>
      <c r="F9" s="50"/>
    </row>
    <row r="10" spans="1:6" x14ac:dyDescent="0.25">
      <c r="A10" s="51" t="s">
        <v>21</v>
      </c>
      <c r="B10" s="52" t="s">
        <v>32</v>
      </c>
      <c r="C10" s="52"/>
      <c r="D10" s="52"/>
      <c r="E10" s="52"/>
      <c r="F10" s="53"/>
    </row>
    <row r="11" spans="1:6" ht="40.5" x14ac:dyDescent="0.25">
      <c r="A11" s="54" t="s">
        <v>22</v>
      </c>
      <c r="B11" s="55" t="s">
        <v>33</v>
      </c>
      <c r="C11" s="55"/>
      <c r="D11" s="55"/>
      <c r="E11" s="55"/>
      <c r="F11" s="56"/>
    </row>
    <row r="12" spans="1:6" ht="54" x14ac:dyDescent="0.25">
      <c r="A12" s="54" t="s">
        <v>23</v>
      </c>
      <c r="B12" s="55" t="s">
        <v>34</v>
      </c>
      <c r="C12" s="55"/>
      <c r="D12" s="55"/>
      <c r="E12" s="55"/>
      <c r="F12" s="56"/>
    </row>
    <row r="13" spans="1:6" ht="27" x14ac:dyDescent="0.25">
      <c r="A13" s="54" t="s">
        <v>24</v>
      </c>
      <c r="B13" s="55" t="s">
        <v>35</v>
      </c>
      <c r="C13" s="55"/>
      <c r="D13" s="55"/>
      <c r="E13" s="55"/>
      <c r="F13" s="56"/>
    </row>
    <row r="14" spans="1:6" ht="27" x14ac:dyDescent="0.25">
      <c r="A14" s="54" t="s">
        <v>25</v>
      </c>
      <c r="B14" s="55" t="s">
        <v>36</v>
      </c>
      <c r="C14" s="55"/>
      <c r="D14" s="55"/>
      <c r="E14" s="55"/>
      <c r="F14" s="56"/>
    </row>
    <row r="15" spans="1:6" ht="40.5" x14ac:dyDescent="0.25">
      <c r="A15" s="54" t="s">
        <v>26</v>
      </c>
      <c r="B15" s="55" t="s">
        <v>37</v>
      </c>
      <c r="C15" s="55"/>
      <c r="D15" s="55"/>
      <c r="E15" s="55"/>
      <c r="F15" s="56"/>
    </row>
    <row r="16" spans="1:6" ht="27" x14ac:dyDescent="0.25">
      <c r="A16" s="54" t="s">
        <v>27</v>
      </c>
      <c r="B16" s="55" t="s">
        <v>38</v>
      </c>
      <c r="C16" s="55"/>
      <c r="D16" s="55"/>
      <c r="E16" s="55"/>
      <c r="F16" s="56"/>
    </row>
    <row r="17" spans="1:6" ht="40.5" x14ac:dyDescent="0.25">
      <c r="A17" s="54" t="s">
        <v>28</v>
      </c>
      <c r="B17" s="55" t="s">
        <v>39</v>
      </c>
      <c r="C17" s="55"/>
      <c r="D17" s="55"/>
      <c r="E17" s="55"/>
      <c r="F17" s="56"/>
    </row>
    <row r="18" spans="1:6" ht="14.25" thickBot="1" x14ac:dyDescent="0.3">
      <c r="A18" s="57" t="s">
        <v>29</v>
      </c>
      <c r="B18" s="58" t="s">
        <v>40</v>
      </c>
      <c r="C18" s="58"/>
      <c r="D18" s="58"/>
      <c r="E18" s="58"/>
      <c r="F18" s="59"/>
    </row>
  </sheetData>
  <mergeCells count="12">
    <mergeCell ref="B15:F15"/>
    <mergeCell ref="B16:F16"/>
    <mergeCell ref="B17:F17"/>
    <mergeCell ref="B18:F18"/>
    <mergeCell ref="B12:F12"/>
    <mergeCell ref="A1:F1"/>
    <mergeCell ref="A7:F7"/>
    <mergeCell ref="B13:F13"/>
    <mergeCell ref="B14:F14"/>
    <mergeCell ref="B11:F11"/>
    <mergeCell ref="B10:F10"/>
    <mergeCell ref="A9:F9"/>
  </mergeCell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vt:lpstr>
      <vt:lpstr>Charts</vt:lpstr>
      <vt:lpstr>Pearson Correlation</vt:lpstr>
      <vt:lpstr>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MarumasMariaLouila</dc:creator>
  <dc:description/>
  <cp:lastModifiedBy>Maria Louila Marumas</cp:lastModifiedBy>
  <cp:revision>1</cp:revision>
  <dcterms:created xsi:type="dcterms:W3CDTF">2026-03-30T07:00:21Z</dcterms:created>
  <dcterms:modified xsi:type="dcterms:W3CDTF">2026-03-30T21:28:40Z</dcterms:modified>
  <dc:language>en-US</dc:language>
</cp:coreProperties>
</file>